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appdata\Local\MeteorHunting\scripts\ukmon-archive\"/>
    </mc:Choice>
  </mc:AlternateContent>
  <xr:revisionPtr revIDLastSave="0" documentId="13_ncr:1_{5EA5D809-A0EA-4863-A276-DDEB7BD758EA}" xr6:coauthVersionLast="45" xr6:coauthVersionMax="45" xr10:uidLastSave="{00000000-0000-0000-0000-000000000000}"/>
  <bookViews>
    <workbookView xWindow="-120" yWindow="-120" windowWidth="20730" windowHeight="11160" activeTab="2" xr2:uid="{00000000-000D-0000-FFFF-FFFF01000000}"/>
  </bookViews>
  <sheets>
    <sheet name="U2_2020_pair" sheetId="1" r:id="rId1"/>
    <sheet name="matches-2020" sheetId="2" r:id="rId2"/>
    <sheet name="Sheet1" sheetId="3" r:id="rId3"/>
  </sheets>
  <functionGroups builtInGroupCount="19"/>
  <definedNames>
    <definedName name="_xlnm._FilterDatabase" localSheetId="1" hidden="1">'matches-2020'!$A$1:$J$238</definedName>
    <definedName name="_xlnm._FilterDatabase" localSheetId="0" hidden="1">U2_2020_pair!$A$1:$DA$219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0" i="3" l="1"/>
  <c r="K21" i="3"/>
  <c r="K20" i="3"/>
  <c r="K19" i="3"/>
  <c r="K18" i="3"/>
  <c r="K17" i="3"/>
  <c r="E13" i="3" l="1"/>
  <c r="F13" i="3" s="1"/>
  <c r="E12" i="3"/>
  <c r="G12" i="3"/>
  <c r="G13" i="3"/>
  <c r="G11" i="3"/>
  <c r="G10" i="3"/>
  <c r="F11" i="3"/>
  <c r="F10" i="3"/>
  <c r="E11" i="3"/>
  <c r="E10" i="3"/>
  <c r="L6" i="3"/>
  <c r="J7" i="3"/>
  <c r="C7" i="3"/>
  <c r="B7" i="3"/>
  <c r="I7" i="3"/>
  <c r="H7" i="3"/>
  <c r="G7" i="3"/>
  <c r="D7" i="3"/>
  <c r="E6" i="3"/>
  <c r="F12" i="3" l="1"/>
  <c r="F6" i="3"/>
  <c r="F7" i="3"/>
  <c r="K7" i="3" s="1"/>
  <c r="K6" i="3" s="1"/>
  <c r="L7" i="3"/>
</calcChain>
</file>

<file path=xl/sharedStrings.xml><?xml version="1.0" encoding="utf-8"?>
<sst xmlns="http://schemas.openxmlformats.org/spreadsheetml/2006/main" count="1727" uniqueCount="589">
  <si>
    <t>_#</t>
  </si>
  <si>
    <t>_localtime</t>
  </si>
  <si>
    <t>_mjd</t>
  </si>
  <si>
    <t>_sol</t>
  </si>
  <si>
    <t>_ID1</t>
  </si>
  <si>
    <t>_ID2</t>
  </si>
  <si>
    <t>_amag</t>
  </si>
  <si>
    <t>_ra_o</t>
  </si>
  <si>
    <t>_dc_o</t>
  </si>
  <si>
    <t>_ra_t</t>
  </si>
  <si>
    <t>_dc_t</t>
  </si>
  <si>
    <t>_elng</t>
  </si>
  <si>
    <t>_elat</t>
  </si>
  <si>
    <t>_vo</t>
  </si>
  <si>
    <t>_vi</t>
  </si>
  <si>
    <t>_vg</t>
  </si>
  <si>
    <t>_vs</t>
  </si>
  <si>
    <t>_a</t>
  </si>
  <si>
    <t>_q</t>
  </si>
  <si>
    <t>_e</t>
  </si>
  <si>
    <t>_p</t>
  </si>
  <si>
    <t>_peri</t>
  </si>
  <si>
    <t>_node</t>
  </si>
  <si>
    <t>_incl</t>
  </si>
  <si>
    <t>_stream</t>
  </si>
  <si>
    <t>_dr</t>
  </si>
  <si>
    <t>_dv%</t>
  </si>
  <si>
    <t>_mag</t>
  </si>
  <si>
    <t>_Qo</t>
  </si>
  <si>
    <t>_dur</t>
  </si>
  <si>
    <t>_av</t>
  </si>
  <si>
    <t>_Voa</t>
  </si>
  <si>
    <t>_Pra</t>
  </si>
  <si>
    <t>_Pdc</t>
  </si>
  <si>
    <t>_GPlng</t>
  </si>
  <si>
    <t>_GPlat</t>
  </si>
  <si>
    <t>_ra1</t>
  </si>
  <si>
    <t>_dc1</t>
  </si>
  <si>
    <t>_az1</t>
  </si>
  <si>
    <t>_ev1</t>
  </si>
  <si>
    <t>_lng1</t>
  </si>
  <si>
    <t>_lat1</t>
  </si>
  <si>
    <t>_H1</t>
  </si>
  <si>
    <t>_LD1</t>
  </si>
  <si>
    <t>_Qr1</t>
  </si>
  <si>
    <t>_Qd1</t>
  </si>
  <si>
    <t>_ra2</t>
  </si>
  <si>
    <t>_dc2</t>
  </si>
  <si>
    <t>_lng2</t>
  </si>
  <si>
    <t>_lat2</t>
  </si>
  <si>
    <t>_H2</t>
  </si>
  <si>
    <t>_LD2</t>
  </si>
  <si>
    <t>_Qr2</t>
  </si>
  <si>
    <t>_Qd2</t>
  </si>
  <si>
    <t>_LD21</t>
  </si>
  <si>
    <t>_az1r</t>
  </si>
  <si>
    <t>_ev1r</t>
  </si>
  <si>
    <t>_evro</t>
  </si>
  <si>
    <t>_evrt</t>
  </si>
  <si>
    <t>_Nts</t>
  </si>
  <si>
    <t>_Nos</t>
  </si>
  <si>
    <t>_leap</t>
  </si>
  <si>
    <t>_rstar</t>
  </si>
  <si>
    <t>_ddeg</t>
  </si>
  <si>
    <t>_cdeg</t>
  </si>
  <si>
    <t>_drop</t>
  </si>
  <si>
    <t>_inout</t>
  </si>
  <si>
    <t>_tme</t>
  </si>
  <si>
    <t>_dt</t>
  </si>
  <si>
    <t>_GD</t>
  </si>
  <si>
    <t>_Qc</t>
  </si>
  <si>
    <t>_dGP</t>
  </si>
  <si>
    <t>_Gm%</t>
  </si>
  <si>
    <t>_dv12%</t>
  </si>
  <si>
    <t>_zmv</t>
  </si>
  <si>
    <t>_Ed</t>
  </si>
  <si>
    <t>_Ex</t>
  </si>
  <si>
    <t>_QA</t>
  </si>
  <si>
    <t>_Y_ut</t>
  </si>
  <si>
    <t>_M_ut</t>
  </si>
  <si>
    <t>_D_ut</t>
  </si>
  <si>
    <t>_h_ut</t>
  </si>
  <si>
    <t>_m_ut</t>
  </si>
  <si>
    <t>_s_ut</t>
  </si>
  <si>
    <t>_No</t>
  </si>
  <si>
    <t>_Qp</t>
  </si>
  <si>
    <t>_pole_sd</t>
  </si>
  <si>
    <t>_rao_sd</t>
  </si>
  <si>
    <t>_dco_sd</t>
  </si>
  <si>
    <t>_vo_sd</t>
  </si>
  <si>
    <t>_rat_sd</t>
  </si>
  <si>
    <t>_dct_sd</t>
  </si>
  <si>
    <t>_vg_sd</t>
  </si>
  <si>
    <t>_a_sd</t>
  </si>
  <si>
    <t>_1/a</t>
  </si>
  <si>
    <t>_1/a_sd</t>
  </si>
  <si>
    <t>_q_sd</t>
  </si>
  <si>
    <t>_e_sd</t>
  </si>
  <si>
    <t>_peri_sd</t>
  </si>
  <si>
    <t>_node_sd</t>
  </si>
  <si>
    <t>_incl_sd</t>
  </si>
  <si>
    <t>_Er_sd</t>
  </si>
  <si>
    <t>_ZF</t>
  </si>
  <si>
    <t>_OH</t>
  </si>
  <si>
    <t>_ZHR</t>
  </si>
  <si>
    <t>_20200103_170200</t>
  </si>
  <si>
    <t>_Clanfield_NW</t>
  </si>
  <si>
    <t>_Lockyer1_L1</t>
  </si>
  <si>
    <t>_J8_QUA</t>
  </si>
  <si>
    <t>_20200103_175801</t>
  </si>
  <si>
    <t>_TACKLEY_NE</t>
  </si>
  <si>
    <t>_Clanfield_NE</t>
  </si>
  <si>
    <t>_20200103_215742</t>
  </si>
  <si>
    <t>_Chard_CD</t>
  </si>
  <si>
    <t>_spo</t>
  </si>
  <si>
    <t>_20200103_224438</t>
  </si>
  <si>
    <t>_20200103_225719</t>
  </si>
  <si>
    <t>_20200104_000318</t>
  </si>
  <si>
    <t>_20200104_003145</t>
  </si>
  <si>
    <t>_20200104_004303</t>
  </si>
  <si>
    <t>_20200104_042846</t>
  </si>
  <si>
    <t>_20200104_050833</t>
  </si>
  <si>
    <t>_Loughborou_SW</t>
  </si>
  <si>
    <t>_20200104_063348</t>
  </si>
  <si>
    <t>_20200106_215640</t>
  </si>
  <si>
    <t>_TACKLEY_TC</t>
  </si>
  <si>
    <t>_20200107_033418</t>
  </si>
  <si>
    <t>_Loughborou_NW</t>
  </si>
  <si>
    <t>_20200112_232410</t>
  </si>
  <si>
    <t>_J8_GUM</t>
  </si>
  <si>
    <t>_20200113_033453</t>
  </si>
  <si>
    <t>_20200113_040145</t>
  </si>
  <si>
    <t>_J8_CVN</t>
  </si>
  <si>
    <t>_20200115_180439</t>
  </si>
  <si>
    <t>_20200115_190630</t>
  </si>
  <si>
    <t>_20200115_200931</t>
  </si>
  <si>
    <t>_20200115_221444</t>
  </si>
  <si>
    <t>_20200115_232040</t>
  </si>
  <si>
    <t>_20200116_055214</t>
  </si>
  <si>
    <t>_20200117_062859</t>
  </si>
  <si>
    <t>_20200117_205410</t>
  </si>
  <si>
    <t>_20200118_003603</t>
  </si>
  <si>
    <t>_20200118_003738</t>
  </si>
  <si>
    <t>_MC1_c1</t>
  </si>
  <si>
    <t>_20200118_004711</t>
  </si>
  <si>
    <t>_20200118_010347</t>
  </si>
  <si>
    <t>_J8_JHY</t>
  </si>
  <si>
    <t>_20200118_010719</t>
  </si>
  <si>
    <t>_20200118_013221</t>
  </si>
  <si>
    <t>_J8_BCB</t>
  </si>
  <si>
    <t>_20200118_014626</t>
  </si>
  <si>
    <t>_20200118_015543</t>
  </si>
  <si>
    <t>_20200118_022401</t>
  </si>
  <si>
    <t>_Blackfield_</t>
  </si>
  <si>
    <t>_Clanfield_SE</t>
  </si>
  <si>
    <t>_20200118_033047</t>
  </si>
  <si>
    <t>_J8_COM</t>
  </si>
  <si>
    <t>_20200118_035852</t>
  </si>
  <si>
    <t>_J8_FPL</t>
  </si>
  <si>
    <t>_20200118_045439</t>
  </si>
  <si>
    <t>_20200118_053328</t>
  </si>
  <si>
    <t>_20200118_063225</t>
  </si>
  <si>
    <t>_J8_JCO</t>
  </si>
  <si>
    <t>_20200118_230621</t>
  </si>
  <si>
    <t>_20200118_234029</t>
  </si>
  <si>
    <t>_J8_XUM</t>
  </si>
  <si>
    <t>_20200118_235124</t>
  </si>
  <si>
    <t>_20200119_011623</t>
  </si>
  <si>
    <t>_20200119_021403</t>
  </si>
  <si>
    <t>_20200119_034312</t>
  </si>
  <si>
    <t>_J8_JPV</t>
  </si>
  <si>
    <t>_20200119_035446</t>
  </si>
  <si>
    <t>_20200119_052809</t>
  </si>
  <si>
    <t>_20200119_052925</t>
  </si>
  <si>
    <t>_20200119_054706</t>
  </si>
  <si>
    <t>_20200119_054727</t>
  </si>
  <si>
    <t>_20200119_062756</t>
  </si>
  <si>
    <t>_20200119_063806</t>
  </si>
  <si>
    <t>_20200119_194716</t>
  </si>
  <si>
    <t>_20200119_202549</t>
  </si>
  <si>
    <t>_J8_OLE</t>
  </si>
  <si>
    <t>_20200119_222932</t>
  </si>
  <si>
    <t>_J8_RGE</t>
  </si>
  <si>
    <t>_20200120_004056</t>
  </si>
  <si>
    <t>_20200120_005751</t>
  </si>
  <si>
    <t>_20200120_011524</t>
  </si>
  <si>
    <t>_Dyffryn_C2</t>
  </si>
  <si>
    <t>_J8_NBO</t>
  </si>
  <si>
    <t>_20200120_011853</t>
  </si>
  <si>
    <t>_20200120_020822</t>
  </si>
  <si>
    <t>_20200120_025402</t>
  </si>
  <si>
    <t>_UK0001</t>
  </si>
  <si>
    <t>_20200120_035129</t>
  </si>
  <si>
    <t>_20200119_035449</t>
  </si>
  <si>
    <t>_UK0006</t>
  </si>
  <si>
    <t>_20200120_042913</t>
  </si>
  <si>
    <t>_20200120_051426</t>
  </si>
  <si>
    <t>_20200120_070509</t>
  </si>
  <si>
    <t>_20200120_192133</t>
  </si>
  <si>
    <t>_20200120_195442</t>
  </si>
  <si>
    <t>_20200120_200301</t>
  </si>
  <si>
    <t>_20200120_212812</t>
  </si>
  <si>
    <t>_20200120_230618</t>
  </si>
  <si>
    <t>_20200120_234118</t>
  </si>
  <si>
    <t>_20200121_000447</t>
  </si>
  <si>
    <t>_20200121_004455</t>
  </si>
  <si>
    <t>_20200121_011731</t>
  </si>
  <si>
    <t>_20200121_020052</t>
  </si>
  <si>
    <t>_20200121_021619</t>
  </si>
  <si>
    <t>_20200121_033205</t>
  </si>
  <si>
    <t>_20200121_050513</t>
  </si>
  <si>
    <t>_20200121_195506</t>
  </si>
  <si>
    <t>_20200121_210655</t>
  </si>
  <si>
    <t>_J8_NCC</t>
  </si>
  <si>
    <t>_20200122_011422</t>
  </si>
  <si>
    <t>_20200128_043503</t>
  </si>
  <si>
    <t>_J8_PIH</t>
  </si>
  <si>
    <t>_20200128_050635</t>
  </si>
  <si>
    <t>_20200128_064623</t>
  </si>
  <si>
    <t>_J8_ACB</t>
  </si>
  <si>
    <t>_20200128_065436</t>
  </si>
  <si>
    <t>_20200128_190805</t>
  </si>
  <si>
    <t>_20200128_215137</t>
  </si>
  <si>
    <t>_20200129_012522</t>
  </si>
  <si>
    <t>_20200129_020114</t>
  </si>
  <si>
    <t>_20200129_020726</t>
  </si>
  <si>
    <t>_20200129_030623</t>
  </si>
  <si>
    <t>_J8_SCC</t>
  </si>
  <si>
    <t>_20200129_032800</t>
  </si>
  <si>
    <t>_20200129_041005</t>
  </si>
  <si>
    <t>_20200129_050735</t>
  </si>
  <si>
    <t>_20200129_051844</t>
  </si>
  <si>
    <t>_20200129_060556</t>
  </si>
  <si>
    <t>_20200129_061338</t>
  </si>
  <si>
    <t>_20200131_015042</t>
  </si>
  <si>
    <t>_20200131_222015</t>
  </si>
  <si>
    <t>_20200201_001225</t>
  </si>
  <si>
    <t>_20200203_042312</t>
  </si>
  <si>
    <t>_J8_FEV</t>
  </si>
  <si>
    <t>_20200203_055406</t>
  </si>
  <si>
    <t>_20200203_060300</t>
  </si>
  <si>
    <t>_20200203_201039</t>
  </si>
  <si>
    <t>_Lockyer2_L2</t>
  </si>
  <si>
    <t>_20200203_231654</t>
  </si>
  <si>
    <t>_20200204_043301</t>
  </si>
  <si>
    <t>_20200204_044222</t>
  </si>
  <si>
    <t>_20200204_060521</t>
  </si>
  <si>
    <t>_J8_FED</t>
  </si>
  <si>
    <t>_20200206_024623</t>
  </si>
  <si>
    <t>_20200206_032957</t>
  </si>
  <si>
    <t>_20200206_040821</t>
  </si>
  <si>
    <t>_20200206_230949</t>
  </si>
  <si>
    <t>_20200207_041325</t>
  </si>
  <si>
    <t>_20200207_054208</t>
  </si>
  <si>
    <t>_20200211_023055</t>
  </si>
  <si>
    <t>_20200211_042719</t>
  </si>
  <si>
    <t>_20200211_051416</t>
  </si>
  <si>
    <t>_20200211_183844</t>
  </si>
  <si>
    <t>_20200212_051825</t>
  </si>
  <si>
    <t>_J8_BHE</t>
  </si>
  <si>
    <t>_20200214_034238</t>
  </si>
  <si>
    <t>_20200214_041923</t>
  </si>
  <si>
    <t>_20200216_233329</t>
  </si>
  <si>
    <t>_20200217_042404</t>
  </si>
  <si>
    <t>_20200217_052503</t>
  </si>
  <si>
    <t>_20200217_053455</t>
  </si>
  <si>
    <t>_20200217_231250</t>
  </si>
  <si>
    <t>_20200218_014020</t>
  </si>
  <si>
    <t>_20200218_050546</t>
  </si>
  <si>
    <t>_20200219_004308</t>
  </si>
  <si>
    <t>_20200219_010741</t>
  </si>
  <si>
    <t>_20200219_021647</t>
  </si>
  <si>
    <t>_20200220_205357</t>
  </si>
  <si>
    <t>_20200221_013911</t>
  </si>
  <si>
    <t>_20200221_014509</t>
  </si>
  <si>
    <t>_20200221_022706</t>
  </si>
  <si>
    <t>_20200221_052503</t>
  </si>
  <si>
    <t>_J8_GBO</t>
  </si>
  <si>
    <t>_20200224_234433</t>
  </si>
  <si>
    <t>_20200225_032024</t>
  </si>
  <si>
    <t>_20200225_033634</t>
  </si>
  <si>
    <t>_20200225_041124</t>
  </si>
  <si>
    <t>_J8_DSE</t>
  </si>
  <si>
    <t>_20200225_042202</t>
  </si>
  <si>
    <t>_20200225_044911</t>
  </si>
  <si>
    <t>_20200225_053717</t>
  </si>
  <si>
    <t>_20200225_054655</t>
  </si>
  <si>
    <t>_20200225_193826</t>
  </si>
  <si>
    <t>_20200225_224759</t>
  </si>
  <si>
    <t>_20200225_235233</t>
  </si>
  <si>
    <t>_20200226_021913</t>
  </si>
  <si>
    <t>_20200226_024843</t>
  </si>
  <si>
    <t>_20200226_030850</t>
  </si>
  <si>
    <t>_20200226_034752</t>
  </si>
  <si>
    <t>_20200226_040712</t>
  </si>
  <si>
    <t>_20200226_044608</t>
  </si>
  <si>
    <t>_20200226_045045</t>
  </si>
  <si>
    <t>_20200226_060213</t>
  </si>
  <si>
    <t>_J8_FHE</t>
  </si>
  <si>
    <t>_20200226_060710</t>
  </si>
  <si>
    <t>_20200227_194805</t>
  </si>
  <si>
    <t>_20200227_220602</t>
  </si>
  <si>
    <t>_20200227_225547</t>
  </si>
  <si>
    <t>_20200227_233617</t>
  </si>
  <si>
    <t>_20200301_032422</t>
  </si>
  <si>
    <t>_20200301_053001</t>
  </si>
  <si>
    <t>_20200303_005642</t>
  </si>
  <si>
    <t>_20200303_032221</t>
  </si>
  <si>
    <t>_20200303_043137</t>
  </si>
  <si>
    <t>_20200304_040132</t>
  </si>
  <si>
    <t>_20200306_025126</t>
  </si>
  <si>
    <t>_20200306_030457</t>
  </si>
  <si>
    <t>_20200306_034001</t>
  </si>
  <si>
    <t>_20200306_051303</t>
  </si>
  <si>
    <t>_20200306_051338</t>
  </si>
  <si>
    <t>_20200306_231846</t>
  </si>
  <si>
    <t>_20200306_234228</t>
  </si>
  <si>
    <t>_20200308_234813</t>
  </si>
  <si>
    <t>_20200312_032020</t>
  </si>
  <si>
    <t>_20200312_044940</t>
  </si>
  <si>
    <t>_20200313_051629</t>
  </si>
  <si>
    <t>_J8_XHE</t>
  </si>
  <si>
    <t>_20200316_220014</t>
  </si>
  <si>
    <t>_20200316_233148</t>
  </si>
  <si>
    <t>_20200317_031346</t>
  </si>
  <si>
    <t>_20200317_034510</t>
  </si>
  <si>
    <t>_20200322_213843</t>
  </si>
  <si>
    <t>_20200322_222215</t>
  </si>
  <si>
    <t>_20200322_232247</t>
  </si>
  <si>
    <t>_20200323_001242</t>
  </si>
  <si>
    <t>_J8_NVI</t>
  </si>
  <si>
    <t>_20200323_022811</t>
  </si>
  <si>
    <t>_20200323_025410</t>
  </si>
  <si>
    <t>_20200323_212612</t>
  </si>
  <si>
    <t>_20200324_025815</t>
  </si>
  <si>
    <t>_20200324_215417</t>
  </si>
  <si>
    <t>_20200325_012439</t>
  </si>
  <si>
    <t>_20200325_040546</t>
  </si>
  <si>
    <t>_20200325_230441</t>
  </si>
  <si>
    <t>_20200326_010945</t>
  </si>
  <si>
    <t>_20200326_011133</t>
  </si>
  <si>
    <t>_20200326_013644</t>
  </si>
  <si>
    <t>_20200326_014358</t>
  </si>
  <si>
    <t>_20200326_041747</t>
  </si>
  <si>
    <t>_20200326_042541</t>
  </si>
  <si>
    <t>_20200326_043331</t>
  </si>
  <si>
    <t>_20200326_231034</t>
  </si>
  <si>
    <t>_20200326_233116</t>
  </si>
  <si>
    <t>_J8_ABS</t>
  </si>
  <si>
    <t>_20200327_000238</t>
  </si>
  <si>
    <t>_20200327_002937</t>
  </si>
  <si>
    <t>_20200327_013629</t>
  </si>
  <si>
    <t>_20200327_020228</t>
  </si>
  <si>
    <t>_20200327_043038</t>
  </si>
  <si>
    <t>_20200327_044520</t>
  </si>
  <si>
    <t>_20200327_044842</t>
  </si>
  <si>
    <t>_20200327_050109</t>
  </si>
  <si>
    <t>_20200328_224005</t>
  </si>
  <si>
    <t>_20200328_231825</t>
  </si>
  <si>
    <t>_20200331_041107</t>
  </si>
  <si>
    <t>id</t>
  </si>
  <si>
    <t>Cam1</t>
  </si>
  <si>
    <t>Cam2</t>
  </si>
  <si>
    <t>date_time</t>
  </si>
  <si>
    <t>dir1</t>
  </si>
  <si>
    <t>dir2</t>
  </si>
  <si>
    <t>ra1</t>
  </si>
  <si>
    <t>ra2</t>
  </si>
  <si>
    <t>Clanfield_NW</t>
  </si>
  <si>
    <t>Lockyer_L1</t>
  </si>
  <si>
    <t>20200103_170200</t>
  </si>
  <si>
    <t>TACKLEY_NE</t>
  </si>
  <si>
    <t>Clanfield_NE</t>
  </si>
  <si>
    <t>20200103_175801</t>
  </si>
  <si>
    <t>Chard_CD</t>
  </si>
  <si>
    <t>20200103_215742</t>
  </si>
  <si>
    <t>20200103_224438</t>
  </si>
  <si>
    <t>20200103_225719</t>
  </si>
  <si>
    <t>20200104_000317</t>
  </si>
  <si>
    <t>20200104_000318</t>
  </si>
  <si>
    <t>20200104_003145</t>
  </si>
  <si>
    <t>20200104_004303</t>
  </si>
  <si>
    <t>20200104_042846</t>
  </si>
  <si>
    <t>Loughborou_SW</t>
  </si>
  <si>
    <t>20200104_050833</t>
  </si>
  <si>
    <t>20200104_063348</t>
  </si>
  <si>
    <t>20200104_070343</t>
  </si>
  <si>
    <t>TACKLEY_TC</t>
  </si>
  <si>
    <t>20200106_215640</t>
  </si>
  <si>
    <t>Loughborou_NW</t>
  </si>
  <si>
    <t>20200107_033418</t>
  </si>
  <si>
    <t>20200112_232410</t>
  </si>
  <si>
    <t>20200113_033453</t>
  </si>
  <si>
    <t>20200113_040145</t>
  </si>
  <si>
    <t>20200115_180439</t>
  </si>
  <si>
    <t>20200115_190630</t>
  </si>
  <si>
    <t>20200115_200931</t>
  </si>
  <si>
    <t>20200115_221444</t>
  </si>
  <si>
    <t>20200115_232040</t>
  </si>
  <si>
    <t>20200116_055214</t>
  </si>
  <si>
    <t>20200117_062859</t>
  </si>
  <si>
    <t>20200117_205410</t>
  </si>
  <si>
    <t>20200118_003603</t>
  </si>
  <si>
    <t>20200118_004711</t>
  </si>
  <si>
    <t>20200118_010347</t>
  </si>
  <si>
    <t>20200118_010719</t>
  </si>
  <si>
    <t>20200118_013221</t>
  </si>
  <si>
    <t>20200118_014626</t>
  </si>
  <si>
    <t>20200118_015543</t>
  </si>
  <si>
    <t>Blackfield_c1</t>
  </si>
  <si>
    <t>Clanfield_SE</t>
  </si>
  <si>
    <t>20200118_022401</t>
  </si>
  <si>
    <t>20200118_033047</t>
  </si>
  <si>
    <t>20200118_033351</t>
  </si>
  <si>
    <t>20200118_035852</t>
  </si>
  <si>
    <t>20200118_045439</t>
  </si>
  <si>
    <t>20200118_053328</t>
  </si>
  <si>
    <t>20200118_063225</t>
  </si>
  <si>
    <t>20200118_063227</t>
  </si>
  <si>
    <t>20200118_230621</t>
  </si>
  <si>
    <t>20200118_234029</t>
  </si>
  <si>
    <t>20200118_235124</t>
  </si>
  <si>
    <t>20200119_011623</t>
  </si>
  <si>
    <t>Dyffryn_C2</t>
  </si>
  <si>
    <t>20200119_021009</t>
  </si>
  <si>
    <t>20200119_021403</t>
  </si>
  <si>
    <t>20200119_034312</t>
  </si>
  <si>
    <t>MC1_c1</t>
  </si>
  <si>
    <t>20200119_035446</t>
  </si>
  <si>
    <t>20200119_052809</t>
  </si>
  <si>
    <t>20200119_052810</t>
  </si>
  <si>
    <t>20200119_052925</t>
  </si>
  <si>
    <t>20200119_052926</t>
  </si>
  <si>
    <t>20200119_054706</t>
  </si>
  <si>
    <t>20200119_054727</t>
  </si>
  <si>
    <t>20200119_062756</t>
  </si>
  <si>
    <t>20200119_062757</t>
  </si>
  <si>
    <t>20200119_063806</t>
  </si>
  <si>
    <t>20200119_194716</t>
  </si>
  <si>
    <t>20200119_202549</t>
  </si>
  <si>
    <t>20200119_222932</t>
  </si>
  <si>
    <t>20200120_004056</t>
  </si>
  <si>
    <t>20200120_005751</t>
  </si>
  <si>
    <t>20200120_011524</t>
  </si>
  <si>
    <t>20200120_011853</t>
  </si>
  <si>
    <t>20200120_020822</t>
  </si>
  <si>
    <t>20200120_035129</t>
  </si>
  <si>
    <t>20200120_042913</t>
  </si>
  <si>
    <t>20200120_051426</t>
  </si>
  <si>
    <t>20200120_070509</t>
  </si>
  <si>
    <t>20200120_192133</t>
  </si>
  <si>
    <t>20200120_195442</t>
  </si>
  <si>
    <t>20200120_200301</t>
  </si>
  <si>
    <t>20200120_212812</t>
  </si>
  <si>
    <t>20200120_230618</t>
  </si>
  <si>
    <t>20200120_234118</t>
  </si>
  <si>
    <t>20200121_000447</t>
  </si>
  <si>
    <t>20200121_000448</t>
  </si>
  <si>
    <t>20200121_004454</t>
  </si>
  <si>
    <t>20200121_004455</t>
  </si>
  <si>
    <t>20200121_011731</t>
  </si>
  <si>
    <t>20200121_020052</t>
  </si>
  <si>
    <t>20200121_021619</t>
  </si>
  <si>
    <t>20200121_033205</t>
  </si>
  <si>
    <t>20200121_195506</t>
  </si>
  <si>
    <t>20200121_210655</t>
  </si>
  <si>
    <t>20200122_011422</t>
  </si>
  <si>
    <t>20200128_043503</t>
  </si>
  <si>
    <t>20200128_050635</t>
  </si>
  <si>
    <t>20200128_064623</t>
  </si>
  <si>
    <t>20200128_065436</t>
  </si>
  <si>
    <t>20200128_215137</t>
  </si>
  <si>
    <t>20200129_020726</t>
  </si>
  <si>
    <t>20200129_032800</t>
  </si>
  <si>
    <t>20200129_041005</t>
  </si>
  <si>
    <t>20200129_051844</t>
  </si>
  <si>
    <t>20200129_061338</t>
  </si>
  <si>
    <t>20200131_015042</t>
  </si>
  <si>
    <t>20200131_222015</t>
  </si>
  <si>
    <t>20200201_001225</t>
  </si>
  <si>
    <t>20200203_042312</t>
  </si>
  <si>
    <t>20200203_055406</t>
  </si>
  <si>
    <t>20200203_055407</t>
  </si>
  <si>
    <t>20200203_060300</t>
  </si>
  <si>
    <t>Lockyer_L2</t>
  </si>
  <si>
    <t>20200203_201039</t>
  </si>
  <si>
    <t>20200203_231654</t>
  </si>
  <si>
    <t>20200204_043301</t>
  </si>
  <si>
    <t>20200204_045649</t>
  </si>
  <si>
    <t>20200204_060521</t>
  </si>
  <si>
    <t>20200206_024623</t>
  </si>
  <si>
    <t>20200206_032957</t>
  </si>
  <si>
    <t>20200206_040821</t>
  </si>
  <si>
    <t>20200206_230949</t>
  </si>
  <si>
    <t>20200207_041325</t>
  </si>
  <si>
    <t>20200207_054208</t>
  </si>
  <si>
    <t>20200211_042719</t>
  </si>
  <si>
    <t>20200211_183844</t>
  </si>
  <si>
    <t>20200212_051825</t>
  </si>
  <si>
    <t>20200214_034238</t>
  </si>
  <si>
    <t>20200214_041923</t>
  </si>
  <si>
    <t>20200216_233329</t>
  </si>
  <si>
    <t>20200217_042404</t>
  </si>
  <si>
    <t>20200217_052503</t>
  </si>
  <si>
    <t>20200217_053455</t>
  </si>
  <si>
    <t>20200217_231250</t>
  </si>
  <si>
    <t>20200218_014020</t>
  </si>
  <si>
    <t>20200218_050546</t>
  </si>
  <si>
    <t>20200219_004308</t>
  </si>
  <si>
    <t>20200219_010741</t>
  </si>
  <si>
    <t>20200220_205357</t>
  </si>
  <si>
    <t>20200220_211443</t>
  </si>
  <si>
    <t>20200221_013911</t>
  </si>
  <si>
    <t>20200221_014509</t>
  </si>
  <si>
    <t>20200221_022706</t>
  </si>
  <si>
    <t>20200221_052503</t>
  </si>
  <si>
    <t>20200224_234433</t>
  </si>
  <si>
    <t>20200225_012435</t>
  </si>
  <si>
    <t>20200225_033634</t>
  </si>
  <si>
    <t>20200225_042202</t>
  </si>
  <si>
    <t>20200225_044911</t>
  </si>
  <si>
    <t>20200225_054655</t>
  </si>
  <si>
    <t>20200225_232030</t>
  </si>
  <si>
    <t>20200225_235233</t>
  </si>
  <si>
    <t>20200226_044608</t>
  </si>
  <si>
    <t>20200226_060710</t>
  </si>
  <si>
    <t>20200301_032422</t>
  </si>
  <si>
    <t>20200301_051023</t>
  </si>
  <si>
    <t>20200301_053001</t>
  </si>
  <si>
    <t>20200303_005642</t>
  </si>
  <si>
    <t>20200303_032221</t>
  </si>
  <si>
    <t>20200303_043137</t>
  </si>
  <si>
    <t>20200304_040132</t>
  </si>
  <si>
    <t>20200306_025126</t>
  </si>
  <si>
    <t>20200306_030457</t>
  </si>
  <si>
    <t>20200306_034001</t>
  </si>
  <si>
    <t>20200306_051303</t>
  </si>
  <si>
    <t>20200306_051338</t>
  </si>
  <si>
    <t>20200306_231846</t>
  </si>
  <si>
    <t>20200306_234228</t>
  </si>
  <si>
    <t>20200308_234813</t>
  </si>
  <si>
    <t>20200312_032020</t>
  </si>
  <si>
    <t>20200312_044940</t>
  </si>
  <si>
    <t>20200313_051629</t>
  </si>
  <si>
    <t>20200316_233148</t>
  </si>
  <si>
    <t>20200317_031346</t>
  </si>
  <si>
    <t>20200322_213843</t>
  </si>
  <si>
    <t>20200322_222215</t>
  </si>
  <si>
    <t>20200322_232247</t>
  </si>
  <si>
    <t>20200323_001242</t>
  </si>
  <si>
    <t>20200323_022811</t>
  </si>
  <si>
    <t>20200323_025410</t>
  </si>
  <si>
    <t>20200323_212612</t>
  </si>
  <si>
    <t>20200324_025815</t>
  </si>
  <si>
    <t>20200324_215417</t>
  </si>
  <si>
    <t>20200326_042541</t>
  </si>
  <si>
    <t>20200327_002937</t>
  </si>
  <si>
    <t>20200327_013629</t>
  </si>
  <si>
    <t>20200327_044520</t>
  </si>
  <si>
    <t>20200327_050109</t>
  </si>
  <si>
    <t>20200331_041107</t>
  </si>
  <si>
    <t>Lat</t>
  </si>
  <si>
    <t>Long</t>
  </si>
  <si>
    <t>alt</t>
  </si>
  <si>
    <t>Dec</t>
  </si>
  <si>
    <t>RA</t>
  </si>
  <si>
    <t>Alt</t>
  </si>
  <si>
    <t>Az</t>
  </si>
  <si>
    <t>DateTime</t>
  </si>
  <si>
    <t>LST</t>
  </si>
  <si>
    <t>HA</t>
  </si>
  <si>
    <t>Degs</t>
  </si>
  <si>
    <t xml:space="preserve"> TACKLEY_NE</t>
  </si>
  <si>
    <t>datetime</t>
  </si>
  <si>
    <t>stn</t>
  </si>
  <si>
    <t>dir</t>
  </si>
  <si>
    <t>ra</t>
  </si>
  <si>
    <t>dec</t>
  </si>
  <si>
    <t>20200103_175802</t>
  </si>
  <si>
    <t xml:space="preserve"> Clanfield_NE</t>
  </si>
  <si>
    <t>long</t>
  </si>
  <si>
    <t>lat</t>
  </si>
  <si>
    <t>Rads</t>
  </si>
  <si>
    <t>Direction</t>
  </si>
  <si>
    <t>Calc Alt</t>
  </si>
  <si>
    <t>Calc Dir</t>
  </si>
  <si>
    <t>Dir</t>
  </si>
  <si>
    <t>Sin Az</t>
  </si>
  <si>
    <t>Cos 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</si>
</sst>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/mm/yyyy\ hh:mm:ss"/>
    <numFmt numFmtId="165" formatCode="_-* #,##0.0000_-;\-* #,##0.0000_-;_-* &quot;-&quot;??_-;_-@_-"/>
    <numFmt numFmtId="166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0">
    <xf numFmtId="0" fontId="0" fillId="0" borderId="0" xfId="0"/>
    <xf numFmtId="17" fontId="0" fillId="0" borderId="0" xfId="0" applyNumberFormat="1"/>
    <xf numFmtId="0" fontId="0" fillId="33" borderId="0" xfId="0" applyFill="1"/>
    <xf numFmtId="0" fontId="0" fillId="34" borderId="0" xfId="0" applyFill="1"/>
    <xf numFmtId="21" fontId="0" fillId="0" borderId="0" xfId="0" applyNumberFormat="1"/>
    <xf numFmtId="164" fontId="0" fillId="0" borderId="0" xfId="0" applyNumberFormat="1"/>
    <xf numFmtId="0" fontId="16" fillId="0" borderId="0" xfId="0" applyFont="1"/>
    <xf numFmtId="0" fontId="0" fillId="0" borderId="0" xfId="0" applyFont="1"/>
    <xf numFmtId="165" fontId="0" fillId="0" borderId="0" xfId="42" applyNumberFormat="1" applyFont="1"/>
    <xf numFmtId="166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219"/>
  <sheetViews>
    <sheetView workbookViewId="0">
      <selection activeCell="A3" sqref="A3"/>
    </sheetView>
  </sheetViews>
  <sheetFormatPr defaultRowHeight="15" x14ac:dyDescent="0.25"/>
  <cols>
    <col min="2" max="2" width="17.28515625" bestFit="1" customWidth="1"/>
    <col min="5" max="6" width="17" style="3" bestFit="1" customWidth="1"/>
  </cols>
  <sheetData>
    <row r="1" spans="1:105" x14ac:dyDescent="0.25">
      <c r="A1" t="s">
        <v>0</v>
      </c>
      <c r="B1" t="s">
        <v>1</v>
      </c>
      <c r="C1" t="s">
        <v>2</v>
      </c>
      <c r="D1" t="s">
        <v>3</v>
      </c>
      <c r="E1" s="3" t="s">
        <v>4</v>
      </c>
      <c r="F1" s="3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</row>
    <row r="2" spans="1:105" x14ac:dyDescent="0.25">
      <c r="A2">
        <v>1</v>
      </c>
      <c r="B2" t="s">
        <v>105</v>
      </c>
      <c r="C2">
        <v>58851.709732000003</v>
      </c>
      <c r="D2">
        <v>282.502655</v>
      </c>
      <c r="E2" s="2" t="s">
        <v>106</v>
      </c>
      <c r="F2" s="2" t="s">
        <v>107</v>
      </c>
      <c r="G2">
        <v>-4.0565040000000003</v>
      </c>
      <c r="H2">
        <v>229.38893100000001</v>
      </c>
      <c r="I2">
        <v>51.352012999999999</v>
      </c>
      <c r="J2">
        <v>228.58505199999999</v>
      </c>
      <c r="K2">
        <v>49.876990999999997</v>
      </c>
      <c r="L2">
        <v>198.09324599999999</v>
      </c>
      <c r="M2">
        <v>63.354331999999999</v>
      </c>
      <c r="N2">
        <v>41.556007000000001</v>
      </c>
      <c r="O2">
        <v>41.556007000000001</v>
      </c>
      <c r="P2">
        <v>40.174759000000002</v>
      </c>
      <c r="Q2">
        <v>38.014130000000002</v>
      </c>
      <c r="R2">
        <v>2.4683229999999998</v>
      </c>
      <c r="S2">
        <v>0.98050999999999999</v>
      </c>
      <c r="T2">
        <v>0.60276300000000005</v>
      </c>
      <c r="U2">
        <v>3.8795169999999999</v>
      </c>
      <c r="V2">
        <v>173.020004</v>
      </c>
      <c r="W2">
        <v>282.502747</v>
      </c>
      <c r="X2">
        <v>71.013107000000005</v>
      </c>
      <c r="Y2" t="s">
        <v>108</v>
      </c>
      <c r="Z2">
        <v>0.74208499999999999</v>
      </c>
      <c r="AA2">
        <v>2.8656709999999999</v>
      </c>
      <c r="AB2">
        <v>-3.8</v>
      </c>
      <c r="AC2">
        <v>11.448425</v>
      </c>
      <c r="AD2">
        <v>0.8</v>
      </c>
      <c r="AE2">
        <v>14.933999999999999</v>
      </c>
      <c r="AF2">
        <v>0</v>
      </c>
      <c r="AG2">
        <v>122.210815</v>
      </c>
      <c r="AH2">
        <v>13.288309</v>
      </c>
      <c r="AI2">
        <v>114.852898</v>
      </c>
      <c r="AJ2">
        <v>19.350548</v>
      </c>
      <c r="AK2">
        <v>302.72778299999999</v>
      </c>
      <c r="AL2">
        <v>76.711166000000006</v>
      </c>
      <c r="AM2">
        <v>339.915527</v>
      </c>
      <c r="AN2">
        <v>57.057578999999997</v>
      </c>
      <c r="AO2">
        <v>-1.3509249999999999</v>
      </c>
      <c r="AP2">
        <v>51.504092999999997</v>
      </c>
      <c r="AQ2">
        <v>105.351967</v>
      </c>
      <c r="AR2">
        <v>124.860069</v>
      </c>
      <c r="AS2">
        <v>36.750908000000003</v>
      </c>
      <c r="AT2">
        <v>26.334537999999998</v>
      </c>
      <c r="AU2">
        <v>343.894836</v>
      </c>
      <c r="AV2">
        <v>72.451026999999996</v>
      </c>
      <c r="AW2">
        <v>-1.1184609999999999</v>
      </c>
      <c r="AX2">
        <v>51.272579</v>
      </c>
      <c r="AY2">
        <v>92.983452</v>
      </c>
      <c r="AZ2">
        <v>100.216797</v>
      </c>
      <c r="BA2">
        <v>48.199333000000003</v>
      </c>
      <c r="BB2">
        <v>33.552128000000003</v>
      </c>
      <c r="BC2">
        <v>33.244807999999999</v>
      </c>
      <c r="BD2">
        <v>327.60247800000002</v>
      </c>
      <c r="BE2">
        <v>21.969448</v>
      </c>
      <c r="BF2">
        <v>21.380648000000001</v>
      </c>
      <c r="BG2">
        <v>19.860168000000002</v>
      </c>
      <c r="BH2">
        <v>41</v>
      </c>
      <c r="BI2">
        <v>40</v>
      </c>
      <c r="BJ2">
        <v>2.4390239999999999</v>
      </c>
      <c r="BK2">
        <v>2</v>
      </c>
      <c r="BL2">
        <v>2.4840000000000001E-2</v>
      </c>
      <c r="BM2">
        <v>1.354E-2</v>
      </c>
      <c r="BN2">
        <v>-1</v>
      </c>
      <c r="BO2">
        <v>1</v>
      </c>
      <c r="BP2">
        <v>1</v>
      </c>
      <c r="BQ2">
        <v>0.77000199999999996</v>
      </c>
      <c r="BR2">
        <v>156.887283</v>
      </c>
      <c r="BS2">
        <v>47.851410000000001</v>
      </c>
      <c r="BT2">
        <v>3.0309999999999998E-3</v>
      </c>
      <c r="BU2">
        <v>19.896936</v>
      </c>
      <c r="BV2">
        <v>1.5252889999999999</v>
      </c>
      <c r="BW2">
        <v>1.5607040000000001</v>
      </c>
      <c r="BX2">
        <v>0.153063</v>
      </c>
      <c r="BY2">
        <v>0.27694000000000002</v>
      </c>
      <c r="BZ2">
        <v>0.88446800000000003</v>
      </c>
      <c r="CA2">
        <v>2020</v>
      </c>
      <c r="CB2">
        <v>1</v>
      </c>
      <c r="CC2">
        <v>3</v>
      </c>
      <c r="CD2">
        <v>17</v>
      </c>
      <c r="CE2">
        <v>2</v>
      </c>
      <c r="CF2">
        <v>0.87999499999999997</v>
      </c>
      <c r="CG2">
        <v>2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0.40513300000000002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25">
      <c r="A3">
        <v>2</v>
      </c>
      <c r="B3" t="s">
        <v>109</v>
      </c>
      <c r="C3">
        <v>58851.748626000001</v>
      </c>
      <c r="D3">
        <v>282.54229700000002</v>
      </c>
      <c r="E3" s="2" t="s">
        <v>110</v>
      </c>
      <c r="F3" s="2" t="s">
        <v>111</v>
      </c>
      <c r="G3">
        <v>0.35717500000000002</v>
      </c>
      <c r="H3">
        <v>230.69473300000001</v>
      </c>
      <c r="I3">
        <v>50.482692999999998</v>
      </c>
      <c r="J3">
        <v>229.961243</v>
      </c>
      <c r="K3">
        <v>48.344096999999998</v>
      </c>
      <c r="L3">
        <v>201.64953600000001</v>
      </c>
      <c r="M3">
        <v>62.611088000000002</v>
      </c>
      <c r="N3">
        <v>36.198624000000002</v>
      </c>
      <c r="O3">
        <v>36.198624000000002</v>
      </c>
      <c r="P3">
        <v>34.552677000000003</v>
      </c>
      <c r="Q3">
        <v>34.064812000000003</v>
      </c>
      <c r="R3">
        <v>1.3773820000000001</v>
      </c>
      <c r="S3">
        <v>0.97150999999999998</v>
      </c>
      <c r="T3">
        <v>0.29466900000000001</v>
      </c>
      <c r="U3">
        <v>1.6171720000000001</v>
      </c>
      <c r="V3">
        <v>161.35871900000001</v>
      </c>
      <c r="W3">
        <v>282.542419</v>
      </c>
      <c r="X3">
        <v>64.563621999999995</v>
      </c>
      <c r="Y3" t="s">
        <v>108</v>
      </c>
      <c r="Z3">
        <v>1.3160270000000001</v>
      </c>
      <c r="AA3">
        <v>16.458711999999998</v>
      </c>
      <c r="AB3">
        <v>0.7</v>
      </c>
      <c r="AC3">
        <v>2.1012379999999999</v>
      </c>
      <c r="AD3">
        <v>0.12</v>
      </c>
      <c r="AE3">
        <v>16.128</v>
      </c>
      <c r="AF3">
        <v>0</v>
      </c>
      <c r="AG3">
        <v>333.77554300000003</v>
      </c>
      <c r="AH3">
        <v>10.574426000000001</v>
      </c>
      <c r="AI3">
        <v>108.70414</v>
      </c>
      <c r="AJ3">
        <v>14.210274999999999</v>
      </c>
      <c r="AK3">
        <v>74.917075999999994</v>
      </c>
      <c r="AL3">
        <v>45.931049000000002</v>
      </c>
      <c r="AM3">
        <v>71.752930000000006</v>
      </c>
      <c r="AN3">
        <v>48.748356000000001</v>
      </c>
      <c r="AO3">
        <v>359.73834199999999</v>
      </c>
      <c r="AP3">
        <v>52.075702999999997</v>
      </c>
      <c r="AQ3">
        <v>89.088752999999997</v>
      </c>
      <c r="AR3">
        <v>117.42926</v>
      </c>
      <c r="AS3">
        <v>81.334182999999996</v>
      </c>
      <c r="AT3">
        <v>19.211918000000001</v>
      </c>
      <c r="AU3">
        <v>74.128699999999995</v>
      </c>
      <c r="AV3">
        <v>43.905296</v>
      </c>
      <c r="AW3">
        <v>359.76211499999999</v>
      </c>
      <c r="AX3">
        <v>52.042141000000001</v>
      </c>
      <c r="AY3">
        <v>87.734352000000001</v>
      </c>
      <c r="AZ3">
        <v>116.775063</v>
      </c>
      <c r="BA3">
        <v>83.435378999999998</v>
      </c>
      <c r="BB3">
        <v>19.323809000000001</v>
      </c>
      <c r="BC3">
        <v>4.3438340000000002</v>
      </c>
      <c r="BD3">
        <v>335.24841300000003</v>
      </c>
      <c r="BE3">
        <v>17.61027</v>
      </c>
      <c r="BF3">
        <v>17.696231999999998</v>
      </c>
      <c r="BG3">
        <v>15.550882</v>
      </c>
      <c r="BH3">
        <v>7</v>
      </c>
      <c r="BI3">
        <v>5</v>
      </c>
      <c r="BJ3">
        <v>28.571428000000001</v>
      </c>
      <c r="BK3">
        <v>25</v>
      </c>
      <c r="BL3">
        <v>6.3839999999999994E-2</v>
      </c>
      <c r="BM3">
        <v>1.431E-2</v>
      </c>
      <c r="BN3">
        <v>-1</v>
      </c>
      <c r="BO3">
        <v>3</v>
      </c>
      <c r="BP3">
        <v>1</v>
      </c>
      <c r="BQ3">
        <v>1.41</v>
      </c>
      <c r="BR3">
        <v>105.113434</v>
      </c>
      <c r="BS3">
        <v>19.457795999999998</v>
      </c>
      <c r="BT3">
        <v>1.003344</v>
      </c>
      <c r="BU3">
        <v>23.050781000000001</v>
      </c>
      <c r="BV3">
        <v>6.5861429999999999</v>
      </c>
      <c r="BW3">
        <v>2.19116</v>
      </c>
      <c r="BX3">
        <v>8.2545940000000009</v>
      </c>
      <c r="BY3">
        <v>24.945395000000001</v>
      </c>
      <c r="BZ3">
        <v>0.56369899999999995</v>
      </c>
      <c r="CA3">
        <v>2020</v>
      </c>
      <c r="CB3">
        <v>1</v>
      </c>
      <c r="CC3">
        <v>3</v>
      </c>
      <c r="CD3">
        <v>17</v>
      </c>
      <c r="CE3">
        <v>58</v>
      </c>
      <c r="CF3">
        <v>1.3199959999999999</v>
      </c>
      <c r="CG3">
        <v>2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0.72601499999999997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</row>
    <row r="4" spans="1:105" x14ac:dyDescent="0.25">
      <c r="A4">
        <v>3</v>
      </c>
      <c r="B4" t="s">
        <v>112</v>
      </c>
      <c r="C4">
        <v>58851.915075999997</v>
      </c>
      <c r="D4">
        <v>282.711975</v>
      </c>
      <c r="E4" s="2" t="s">
        <v>113</v>
      </c>
      <c r="F4" s="2" t="s">
        <v>107</v>
      </c>
      <c r="G4">
        <v>0.135937</v>
      </c>
      <c r="H4">
        <v>104.083557</v>
      </c>
      <c r="I4">
        <v>10.802638</v>
      </c>
      <c r="J4">
        <v>104.556213</v>
      </c>
      <c r="K4">
        <v>9.0830199999999994</v>
      </c>
      <c r="L4">
        <v>104.794189</v>
      </c>
      <c r="M4">
        <v>-13.609296000000001</v>
      </c>
      <c r="N4">
        <v>29.984660999999999</v>
      </c>
      <c r="O4">
        <v>29.984660999999999</v>
      </c>
      <c r="P4">
        <v>27.647224000000001</v>
      </c>
      <c r="Q4">
        <v>40.288527999999999</v>
      </c>
      <c r="R4">
        <v>4.8927040000000002</v>
      </c>
      <c r="S4">
        <v>0.51864500000000002</v>
      </c>
      <c r="T4">
        <v>0.89399600000000001</v>
      </c>
      <c r="U4">
        <v>10.826752000000001</v>
      </c>
      <c r="V4">
        <v>90.061126999999999</v>
      </c>
      <c r="W4">
        <v>102.710922</v>
      </c>
      <c r="X4">
        <v>12.514006999999999</v>
      </c>
      <c r="Y4" t="s">
        <v>114</v>
      </c>
      <c r="Z4">
        <v>-1</v>
      </c>
      <c r="AA4">
        <v>-1</v>
      </c>
      <c r="AB4">
        <v>0.9</v>
      </c>
      <c r="AC4">
        <v>1.4209419999999999</v>
      </c>
      <c r="AD4">
        <v>0.12</v>
      </c>
      <c r="AE4">
        <v>13.202</v>
      </c>
      <c r="AF4">
        <v>0</v>
      </c>
      <c r="AG4">
        <v>16.805537999999999</v>
      </c>
      <c r="AH4">
        <v>-13.976214000000001</v>
      </c>
      <c r="AI4">
        <v>305.98941000000002</v>
      </c>
      <c r="AJ4">
        <v>-26.754168</v>
      </c>
      <c r="AK4">
        <v>321.40481599999998</v>
      </c>
      <c r="AL4">
        <v>66.328247000000005</v>
      </c>
      <c r="AM4">
        <v>330.54953</v>
      </c>
      <c r="AN4">
        <v>39.279693999999999</v>
      </c>
      <c r="AO4">
        <v>356.27801499999998</v>
      </c>
      <c r="AP4">
        <v>51.725234999999998</v>
      </c>
      <c r="AQ4">
        <v>90.651206999999999</v>
      </c>
      <c r="AR4">
        <v>141.812454</v>
      </c>
      <c r="AS4">
        <v>98.162116999999995</v>
      </c>
      <c r="AT4">
        <v>10.448762</v>
      </c>
      <c r="AU4">
        <v>319.34396400000003</v>
      </c>
      <c r="AV4">
        <v>65.186546000000007</v>
      </c>
      <c r="AW4">
        <v>356.24844400000001</v>
      </c>
      <c r="AX4">
        <v>51.742542</v>
      </c>
      <c r="AY4">
        <v>88.457549999999998</v>
      </c>
      <c r="AZ4">
        <v>142.53057899999999</v>
      </c>
      <c r="BA4">
        <v>99.583008000000007</v>
      </c>
      <c r="BB4">
        <v>10.395530000000001</v>
      </c>
      <c r="BC4">
        <v>3.5981589999999999</v>
      </c>
      <c r="BD4">
        <v>131.730042</v>
      </c>
      <c r="BE4">
        <v>39.879939999999998</v>
      </c>
      <c r="BF4">
        <v>40.805526999999998</v>
      </c>
      <c r="BG4">
        <v>39.071247</v>
      </c>
      <c r="BH4">
        <v>7</v>
      </c>
      <c r="BI4">
        <v>5</v>
      </c>
      <c r="BJ4">
        <v>28.571428000000001</v>
      </c>
      <c r="BK4">
        <v>18</v>
      </c>
      <c r="BL4">
        <v>3.3750000000000002E-2</v>
      </c>
      <c r="BM4">
        <v>1.12E-2</v>
      </c>
      <c r="BN4">
        <v>-1</v>
      </c>
      <c r="BO4">
        <v>3</v>
      </c>
      <c r="BP4">
        <v>1</v>
      </c>
      <c r="BQ4">
        <v>0.139991</v>
      </c>
      <c r="BR4">
        <v>28.312946</v>
      </c>
      <c r="BS4">
        <v>10.554824999999999</v>
      </c>
      <c r="BT4">
        <v>0.84731800000000002</v>
      </c>
      <c r="BU4">
        <v>67.108718999999994</v>
      </c>
      <c r="BV4">
        <v>0.15713299999999999</v>
      </c>
      <c r="BW4">
        <v>1.7815190000000001</v>
      </c>
      <c r="BX4">
        <v>14.532192999999999</v>
      </c>
      <c r="BY4">
        <v>80.536461000000003</v>
      </c>
      <c r="BZ4">
        <v>0.215725</v>
      </c>
      <c r="CA4">
        <v>2020</v>
      </c>
      <c r="CB4">
        <v>1</v>
      </c>
      <c r="CC4">
        <v>3</v>
      </c>
      <c r="CD4">
        <v>21</v>
      </c>
      <c r="CE4">
        <v>57</v>
      </c>
      <c r="CF4">
        <v>42.570003999999997</v>
      </c>
      <c r="CG4">
        <v>2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0.20438600000000001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25">
      <c r="A5">
        <v>4</v>
      </c>
      <c r="B5" t="s">
        <v>115</v>
      </c>
      <c r="C5">
        <v>58851.947672000002</v>
      </c>
      <c r="D5">
        <v>282.74520899999999</v>
      </c>
      <c r="E5" s="2" t="s">
        <v>107</v>
      </c>
      <c r="F5" s="2" t="s">
        <v>106</v>
      </c>
      <c r="G5">
        <v>0.23450399999999999</v>
      </c>
      <c r="H5">
        <v>227.741806</v>
      </c>
      <c r="I5">
        <v>51.614379999999997</v>
      </c>
      <c r="J5">
        <v>229.16421500000001</v>
      </c>
      <c r="K5">
        <v>50.347065000000001</v>
      </c>
      <c r="L5">
        <v>198.144882</v>
      </c>
      <c r="M5">
        <v>63.952979999999997</v>
      </c>
      <c r="N5">
        <v>42.525889999999997</v>
      </c>
      <c r="O5">
        <v>42.525889999999997</v>
      </c>
      <c r="P5">
        <v>40.927162000000003</v>
      </c>
      <c r="Q5">
        <v>38.839503999999998</v>
      </c>
      <c r="R5">
        <v>2.9973010000000002</v>
      </c>
      <c r="S5">
        <v>0.980966</v>
      </c>
      <c r="T5">
        <v>0.67271700000000001</v>
      </c>
      <c r="U5">
        <v>5.1912289999999999</v>
      </c>
      <c r="V5">
        <v>173.839966</v>
      </c>
      <c r="W5">
        <v>282.74527</v>
      </c>
      <c r="X5">
        <v>71.372551000000001</v>
      </c>
      <c r="Y5" t="s">
        <v>108</v>
      </c>
      <c r="Z5">
        <v>0.83900799999999998</v>
      </c>
      <c r="AA5">
        <v>1.0465150000000001</v>
      </c>
      <c r="AB5">
        <v>0.6</v>
      </c>
      <c r="AC5">
        <v>5.9079100000000002</v>
      </c>
      <c r="AD5">
        <v>0.32</v>
      </c>
      <c r="AE5">
        <v>18.791</v>
      </c>
      <c r="AF5">
        <v>0</v>
      </c>
      <c r="AG5">
        <v>12.267621999999999</v>
      </c>
      <c r="AH5">
        <v>32.827464999999997</v>
      </c>
      <c r="AI5">
        <v>71.021850999999998</v>
      </c>
      <c r="AJ5">
        <v>-13.290545</v>
      </c>
      <c r="AK5">
        <v>135.51440400000001</v>
      </c>
      <c r="AL5">
        <v>40.358443999999999</v>
      </c>
      <c r="AM5">
        <v>83.607376000000002</v>
      </c>
      <c r="AN5">
        <v>51.110354999999998</v>
      </c>
      <c r="AO5">
        <v>357.83255000000003</v>
      </c>
      <c r="AP5">
        <v>50.759399000000002</v>
      </c>
      <c r="AQ5">
        <v>95.327042000000006</v>
      </c>
      <c r="AR5">
        <v>121.3536</v>
      </c>
      <c r="AS5">
        <v>60.711646999999999</v>
      </c>
      <c r="AT5">
        <v>55.851951999999997</v>
      </c>
      <c r="AU5">
        <v>130.31553600000001</v>
      </c>
      <c r="AV5">
        <v>36.086632000000002</v>
      </c>
      <c r="AW5">
        <v>357.76620500000001</v>
      </c>
      <c r="AX5">
        <v>50.651546000000003</v>
      </c>
      <c r="AY5">
        <v>91.496178</v>
      </c>
      <c r="AZ5">
        <v>115.30880000000001</v>
      </c>
      <c r="BA5">
        <v>66.619552999999996</v>
      </c>
      <c r="BB5">
        <v>60.572066999999997</v>
      </c>
      <c r="BC5">
        <v>13.608283999999999</v>
      </c>
      <c r="BD5">
        <v>21.319973000000001</v>
      </c>
      <c r="BE5">
        <v>16.30611</v>
      </c>
      <c r="BF5">
        <v>16.000919</v>
      </c>
      <c r="BG5">
        <v>14.50066</v>
      </c>
      <c r="BH5">
        <v>17</v>
      </c>
      <c r="BI5">
        <v>12</v>
      </c>
      <c r="BJ5">
        <v>29.411764000000002</v>
      </c>
      <c r="BK5">
        <v>0</v>
      </c>
      <c r="BL5">
        <v>0.1</v>
      </c>
      <c r="BM5">
        <v>1.302E-2</v>
      </c>
      <c r="BN5">
        <v>-1</v>
      </c>
      <c r="BO5">
        <v>3</v>
      </c>
      <c r="BP5">
        <v>1</v>
      </c>
      <c r="BQ5">
        <v>9.0001999999999999E-2</v>
      </c>
      <c r="BR5">
        <v>156.88954200000001</v>
      </c>
      <c r="BS5">
        <v>71.602074000000002</v>
      </c>
      <c r="BT5">
        <v>3.79E-4</v>
      </c>
      <c r="BU5">
        <v>38.234386000000001</v>
      </c>
      <c r="BV5">
        <v>0.18185599999999999</v>
      </c>
      <c r="BW5">
        <v>1.551722</v>
      </c>
      <c r="BX5">
        <v>1.2259009999999999</v>
      </c>
      <c r="BY5">
        <v>1.407505</v>
      </c>
      <c r="BZ5">
        <v>0.897679</v>
      </c>
      <c r="CA5">
        <v>2020</v>
      </c>
      <c r="CB5">
        <v>1</v>
      </c>
      <c r="CC5">
        <v>3</v>
      </c>
      <c r="CD5">
        <v>22</v>
      </c>
      <c r="CE5">
        <v>44</v>
      </c>
      <c r="CF5">
        <v>38.880004999999997</v>
      </c>
      <c r="CG5">
        <v>2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0.33363399999999999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</row>
    <row r="6" spans="1:105" x14ac:dyDescent="0.25">
      <c r="A6">
        <v>5</v>
      </c>
      <c r="B6" t="s">
        <v>116</v>
      </c>
      <c r="C6">
        <v>58851.956474999999</v>
      </c>
      <c r="D6">
        <v>282.75418100000002</v>
      </c>
      <c r="E6" s="2" t="s">
        <v>107</v>
      </c>
      <c r="F6" s="2" t="s">
        <v>106</v>
      </c>
      <c r="G6">
        <v>0.81800799999999996</v>
      </c>
      <c r="H6">
        <v>77.410415999999998</v>
      </c>
      <c r="I6">
        <v>5.7199520000000001</v>
      </c>
      <c r="J6">
        <v>75.561454999999995</v>
      </c>
      <c r="K6">
        <v>-0.82880500000000001</v>
      </c>
      <c r="L6">
        <v>74.227440000000001</v>
      </c>
      <c r="M6">
        <v>-23.478463999999999</v>
      </c>
      <c r="N6">
        <v>17.15774</v>
      </c>
      <c r="O6">
        <v>17.15774</v>
      </c>
      <c r="P6">
        <v>13.064259</v>
      </c>
      <c r="Q6">
        <v>37.878773000000002</v>
      </c>
      <c r="R6">
        <v>2.3997099999999998</v>
      </c>
      <c r="S6">
        <v>0.88415600000000005</v>
      </c>
      <c r="T6">
        <v>0.63155700000000004</v>
      </c>
      <c r="U6">
        <v>3.7188850000000002</v>
      </c>
      <c r="V6">
        <v>42.299061000000002</v>
      </c>
      <c r="W6">
        <v>102.75256299999999</v>
      </c>
      <c r="X6">
        <v>8.2246600000000001</v>
      </c>
      <c r="Y6" t="s">
        <v>114</v>
      </c>
      <c r="Z6">
        <v>-1</v>
      </c>
      <c r="AA6">
        <v>-1</v>
      </c>
      <c r="AB6">
        <v>0.9</v>
      </c>
      <c r="AC6">
        <v>5.6834379999999998</v>
      </c>
      <c r="AD6">
        <v>0.62</v>
      </c>
      <c r="AE6">
        <v>8.8130000000000006</v>
      </c>
      <c r="AF6">
        <v>0</v>
      </c>
      <c r="AG6">
        <v>342.12390099999999</v>
      </c>
      <c r="AH6">
        <v>42.609248999999998</v>
      </c>
      <c r="AI6">
        <v>259.36334199999999</v>
      </c>
      <c r="AJ6">
        <v>6.715516</v>
      </c>
      <c r="AK6">
        <v>148.09375</v>
      </c>
      <c r="AL6">
        <v>46.525188</v>
      </c>
      <c r="AM6">
        <v>69.878403000000006</v>
      </c>
      <c r="AN6">
        <v>48.606662999999998</v>
      </c>
      <c r="AO6">
        <v>357.69348100000002</v>
      </c>
      <c r="AP6">
        <v>50.897742999999998</v>
      </c>
      <c r="AQ6">
        <v>79.665169000000006</v>
      </c>
      <c r="AR6">
        <v>105.185326</v>
      </c>
      <c r="AS6">
        <v>72.615250000000003</v>
      </c>
      <c r="AT6">
        <v>69.638953999999998</v>
      </c>
      <c r="AU6">
        <v>156.34643600000001</v>
      </c>
      <c r="AV6">
        <v>47.245337999999997</v>
      </c>
      <c r="AW6">
        <v>357.71331800000002</v>
      </c>
      <c r="AX6">
        <v>50.963940000000001</v>
      </c>
      <c r="AY6">
        <v>72.230041999999997</v>
      </c>
      <c r="AZ6">
        <v>102.510803</v>
      </c>
      <c r="BA6">
        <v>78.298682999999997</v>
      </c>
      <c r="BB6">
        <v>74.149726999999999</v>
      </c>
      <c r="BC6">
        <v>10.637798</v>
      </c>
      <c r="BD6">
        <v>190.313019</v>
      </c>
      <c r="BE6">
        <v>44.427349</v>
      </c>
      <c r="BF6">
        <v>44.731189999999998</v>
      </c>
      <c r="BG6">
        <v>38.022773999999998</v>
      </c>
      <c r="BH6">
        <v>32</v>
      </c>
      <c r="BI6">
        <v>19</v>
      </c>
      <c r="BJ6">
        <v>40.625</v>
      </c>
      <c r="BK6">
        <v>39</v>
      </c>
      <c r="BL6">
        <v>4.7899999999999998E-2</v>
      </c>
      <c r="BM6">
        <v>1.3950000000000001E-2</v>
      </c>
      <c r="BN6">
        <v>-1</v>
      </c>
      <c r="BO6">
        <v>3</v>
      </c>
      <c r="BP6">
        <v>1</v>
      </c>
      <c r="BQ6">
        <v>0.48999900000000002</v>
      </c>
      <c r="BR6">
        <v>156.88954200000001</v>
      </c>
      <c r="BS6">
        <v>79.232902999999993</v>
      </c>
      <c r="BT6">
        <v>1.2672890000000001</v>
      </c>
      <c r="BU6">
        <v>38.566443999999997</v>
      </c>
      <c r="BV6">
        <v>5.6189689999999999</v>
      </c>
      <c r="BW6">
        <v>6.8040370000000001</v>
      </c>
      <c r="BX6">
        <v>0.70630899999999996</v>
      </c>
      <c r="BY6">
        <v>0.73422600000000005</v>
      </c>
      <c r="BZ6">
        <v>0.89476900000000004</v>
      </c>
      <c r="CA6">
        <v>2020</v>
      </c>
      <c r="CB6">
        <v>1</v>
      </c>
      <c r="CC6">
        <v>3</v>
      </c>
      <c r="CD6">
        <v>22</v>
      </c>
      <c r="CE6">
        <v>57</v>
      </c>
      <c r="CF6">
        <v>19.409998000000002</v>
      </c>
      <c r="CG6">
        <v>2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0.416717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</row>
    <row r="7" spans="1:105" x14ac:dyDescent="0.25">
      <c r="A7">
        <v>6</v>
      </c>
      <c r="B7" t="s">
        <v>117</v>
      </c>
      <c r="C7">
        <v>58852.002291999997</v>
      </c>
      <c r="D7">
        <v>282.80087300000002</v>
      </c>
      <c r="E7" s="2" t="s">
        <v>113</v>
      </c>
      <c r="F7" s="2" t="s">
        <v>106</v>
      </c>
      <c r="G7">
        <v>-0.35528399999999999</v>
      </c>
      <c r="H7">
        <v>226.401352</v>
      </c>
      <c r="I7">
        <v>45.856487000000001</v>
      </c>
      <c r="J7">
        <v>228.46426400000001</v>
      </c>
      <c r="K7">
        <v>44.218730999999998</v>
      </c>
      <c r="L7">
        <v>204.325729</v>
      </c>
      <c r="M7">
        <v>58.565410999999997</v>
      </c>
      <c r="N7">
        <v>34.964328999999999</v>
      </c>
      <c r="O7">
        <v>34.964328999999999</v>
      </c>
      <c r="P7">
        <v>32.954044000000003</v>
      </c>
      <c r="Q7">
        <v>31.354614000000002</v>
      </c>
      <c r="R7">
        <v>1.080057</v>
      </c>
      <c r="S7">
        <v>0.92790099999999998</v>
      </c>
      <c r="T7">
        <v>0.140877</v>
      </c>
      <c r="U7">
        <v>1.1229089999999999</v>
      </c>
      <c r="V7">
        <v>122.965988</v>
      </c>
      <c r="W7">
        <v>282.80096400000002</v>
      </c>
      <c r="X7">
        <v>64.442718999999997</v>
      </c>
      <c r="Y7" t="s">
        <v>108</v>
      </c>
      <c r="Z7">
        <v>5.4551100000000003</v>
      </c>
      <c r="AA7">
        <v>20.323879000000002</v>
      </c>
      <c r="AB7">
        <v>0.3</v>
      </c>
      <c r="AC7">
        <v>1.393375</v>
      </c>
      <c r="AD7">
        <v>0.16</v>
      </c>
      <c r="AE7">
        <v>8.85</v>
      </c>
      <c r="AF7">
        <v>0</v>
      </c>
      <c r="AG7">
        <v>127.160522</v>
      </c>
      <c r="AH7">
        <v>8.858511</v>
      </c>
      <c r="AI7">
        <v>56.827274000000003</v>
      </c>
      <c r="AJ7">
        <v>-21.663187000000001</v>
      </c>
      <c r="AK7">
        <v>264.34500100000002</v>
      </c>
      <c r="AL7">
        <v>78.004929000000004</v>
      </c>
      <c r="AM7">
        <v>4.4750969999999999</v>
      </c>
      <c r="AN7">
        <v>39.288414000000003</v>
      </c>
      <c r="AO7">
        <v>357.16726699999998</v>
      </c>
      <c r="AP7">
        <v>51.820594999999997</v>
      </c>
      <c r="AQ7">
        <v>88.031981999999999</v>
      </c>
      <c r="AR7">
        <v>137.48796100000001</v>
      </c>
      <c r="AS7">
        <v>35.306114000000001</v>
      </c>
      <c r="AT7">
        <v>9.7789140000000003</v>
      </c>
      <c r="AU7">
        <v>269.711884</v>
      </c>
      <c r="AV7">
        <v>78.893242000000001</v>
      </c>
      <c r="AW7">
        <v>357.121826</v>
      </c>
      <c r="AX7">
        <v>51.782825000000003</v>
      </c>
      <c r="AY7">
        <v>86.271293999999997</v>
      </c>
      <c r="AZ7">
        <v>132.96189899999999</v>
      </c>
      <c r="BA7">
        <v>36.699489999999997</v>
      </c>
      <c r="BB7">
        <v>10.115233</v>
      </c>
      <c r="BC7">
        <v>5.5942920000000003</v>
      </c>
      <c r="BD7">
        <v>36.713206999999997</v>
      </c>
      <c r="BE7">
        <v>18.240803</v>
      </c>
      <c r="BF7">
        <v>17.440021999999999</v>
      </c>
      <c r="BG7">
        <v>15.280551000000001</v>
      </c>
      <c r="BH7">
        <v>9</v>
      </c>
      <c r="BI7">
        <v>8</v>
      </c>
      <c r="BJ7">
        <v>11.111110999999999</v>
      </c>
      <c r="BK7">
        <v>9</v>
      </c>
      <c r="BL7">
        <v>3.1579999999999997E-2</v>
      </c>
      <c r="BM7">
        <v>2.7820000000000001E-2</v>
      </c>
      <c r="BN7">
        <v>-1</v>
      </c>
      <c r="BO7">
        <v>3</v>
      </c>
      <c r="BP7">
        <v>1</v>
      </c>
      <c r="BQ7">
        <v>0.219995</v>
      </c>
      <c r="BR7">
        <v>135.362976</v>
      </c>
      <c r="BS7">
        <v>17.090437000000001</v>
      </c>
      <c r="BT7">
        <v>9.9700000000000006E-4</v>
      </c>
      <c r="BU7">
        <v>30.384475999999999</v>
      </c>
      <c r="BV7">
        <v>7.7311620000000003</v>
      </c>
      <c r="BW7">
        <v>2.1923870000000001</v>
      </c>
      <c r="BX7">
        <v>3.6614080000000002</v>
      </c>
      <c r="BY7">
        <v>20.847466000000001</v>
      </c>
      <c r="BZ7">
        <v>0.611178</v>
      </c>
      <c r="CA7">
        <v>2020</v>
      </c>
      <c r="CB7">
        <v>1</v>
      </c>
      <c r="CC7">
        <v>4</v>
      </c>
      <c r="CD7">
        <v>0</v>
      </c>
      <c r="CE7">
        <v>3</v>
      </c>
      <c r="CF7">
        <v>18</v>
      </c>
      <c r="CG7">
        <v>2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0.92587699999999995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</row>
    <row r="8" spans="1:105" x14ac:dyDescent="0.25">
      <c r="A8">
        <v>7</v>
      </c>
      <c r="B8" t="s">
        <v>118</v>
      </c>
      <c r="C8">
        <v>58852.022048999999</v>
      </c>
      <c r="D8">
        <v>282.82101399999999</v>
      </c>
      <c r="E8" s="2" t="s">
        <v>107</v>
      </c>
      <c r="F8" s="2" t="s">
        <v>106</v>
      </c>
      <c r="G8">
        <v>-1.4108309999999999</v>
      </c>
      <c r="H8">
        <v>232.740005</v>
      </c>
      <c r="I8">
        <v>53.668587000000002</v>
      </c>
      <c r="J8">
        <v>233.74504099999999</v>
      </c>
      <c r="K8">
        <v>53.236980000000003</v>
      </c>
      <c r="L8">
        <v>199.333496</v>
      </c>
      <c r="M8">
        <v>67.969680999999994</v>
      </c>
      <c r="N8">
        <v>54.969517000000003</v>
      </c>
      <c r="O8">
        <v>54.969517000000003</v>
      </c>
      <c r="P8">
        <v>53.675148</v>
      </c>
      <c r="Q8">
        <v>50.858364000000002</v>
      </c>
      <c r="R8">
        <v>-1.134304</v>
      </c>
      <c r="S8">
        <v>0.981742</v>
      </c>
      <c r="T8">
        <v>1.8655010000000001</v>
      </c>
      <c r="U8">
        <v>0</v>
      </c>
      <c r="V8">
        <v>176.068344</v>
      </c>
      <c r="W8">
        <v>282.82104500000003</v>
      </c>
      <c r="X8">
        <v>78.323959000000002</v>
      </c>
      <c r="Y8" t="s">
        <v>108</v>
      </c>
      <c r="Z8">
        <v>4.3912550000000001</v>
      </c>
      <c r="AA8">
        <v>29.775500999999998</v>
      </c>
      <c r="AB8">
        <v>0.4</v>
      </c>
      <c r="AC8">
        <v>1.7757609999999999</v>
      </c>
      <c r="AD8">
        <v>0.36</v>
      </c>
      <c r="AE8">
        <v>5.52</v>
      </c>
      <c r="AF8">
        <v>0</v>
      </c>
      <c r="AG8">
        <v>98.487517999999994</v>
      </c>
      <c r="AH8">
        <v>27.166452</v>
      </c>
      <c r="AI8">
        <v>60.403461</v>
      </c>
      <c r="AJ8">
        <v>-19.092012</v>
      </c>
      <c r="AK8">
        <v>268.38452100000001</v>
      </c>
      <c r="AL8">
        <v>62.458744000000003</v>
      </c>
      <c r="AM8">
        <v>9.6895559999999996</v>
      </c>
      <c r="AN8">
        <v>24.183413999999999</v>
      </c>
      <c r="AO8">
        <v>357.31582600000002</v>
      </c>
      <c r="AP8">
        <v>52.594768999999999</v>
      </c>
      <c r="AQ8">
        <v>101.91011</v>
      </c>
      <c r="AR8">
        <v>239.46229600000001</v>
      </c>
      <c r="AS8">
        <v>20.457642</v>
      </c>
      <c r="AT8">
        <v>3.5014620000000001</v>
      </c>
      <c r="AU8">
        <v>272.20980800000001</v>
      </c>
      <c r="AV8">
        <v>62.679820999999997</v>
      </c>
      <c r="AW8">
        <v>357.17645299999998</v>
      </c>
      <c r="AX8">
        <v>52.461807</v>
      </c>
      <c r="AY8">
        <v>93.275681000000006</v>
      </c>
      <c r="AZ8">
        <v>221.002197</v>
      </c>
      <c r="BA8">
        <v>22.2334</v>
      </c>
      <c r="BB8">
        <v>3.7943470000000001</v>
      </c>
      <c r="BC8">
        <v>19.789026</v>
      </c>
      <c r="BD8">
        <v>32.888351</v>
      </c>
      <c r="BE8">
        <v>25.791986000000001</v>
      </c>
      <c r="BF8">
        <v>24.005528999999999</v>
      </c>
      <c r="BG8">
        <v>23.312646999999998</v>
      </c>
      <c r="BH8">
        <v>19</v>
      </c>
      <c r="BI8">
        <v>5</v>
      </c>
      <c r="BJ8">
        <v>73.684212000000002</v>
      </c>
      <c r="BK8">
        <v>0</v>
      </c>
      <c r="BL8">
        <v>0.1</v>
      </c>
      <c r="BM8">
        <v>1.259E-2</v>
      </c>
      <c r="BN8">
        <v>-1</v>
      </c>
      <c r="BO8">
        <v>3</v>
      </c>
      <c r="BP8">
        <v>1</v>
      </c>
      <c r="BQ8">
        <v>0.14999899999999999</v>
      </c>
      <c r="BR8">
        <v>156.88885500000001</v>
      </c>
      <c r="BS8">
        <v>10.036825</v>
      </c>
      <c r="BT8">
        <v>0.22973199999999999</v>
      </c>
      <c r="BU8">
        <v>28.117943</v>
      </c>
      <c r="BV8">
        <v>8.5041039999999999</v>
      </c>
      <c r="BW8">
        <v>0.73786799999999997</v>
      </c>
      <c r="BX8">
        <v>7.3915800000000003</v>
      </c>
      <c r="BY8">
        <v>111.696693</v>
      </c>
      <c r="BZ8">
        <v>2.1090000000000002E-3</v>
      </c>
      <c r="CA8">
        <v>2020</v>
      </c>
      <c r="CB8">
        <v>1</v>
      </c>
      <c r="CC8">
        <v>4</v>
      </c>
      <c r="CD8">
        <v>0</v>
      </c>
      <c r="CE8">
        <v>31</v>
      </c>
      <c r="CF8">
        <v>45.049995000000003</v>
      </c>
      <c r="CG8">
        <v>2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-0.88159799999999999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</row>
    <row r="9" spans="1:105" x14ac:dyDescent="0.25">
      <c r="A9">
        <v>8</v>
      </c>
      <c r="B9" t="s">
        <v>119</v>
      </c>
      <c r="C9">
        <v>58852.029906000003</v>
      </c>
      <c r="D9">
        <v>282.82900999999998</v>
      </c>
      <c r="E9" s="2" t="s">
        <v>113</v>
      </c>
      <c r="F9" s="2" t="s">
        <v>106</v>
      </c>
      <c r="G9">
        <v>-0.83646200000000004</v>
      </c>
      <c r="H9">
        <v>225.96624800000001</v>
      </c>
      <c r="I9">
        <v>49.958916000000002</v>
      </c>
      <c r="J9">
        <v>227.469742</v>
      </c>
      <c r="K9">
        <v>49.219394999999999</v>
      </c>
      <c r="L9">
        <v>197.645813</v>
      </c>
      <c r="M9">
        <v>62.398074999999999</v>
      </c>
      <c r="N9">
        <v>42.705517</v>
      </c>
      <c r="O9">
        <v>42.705517</v>
      </c>
      <c r="P9">
        <v>41.039745000000003</v>
      </c>
      <c r="Q9">
        <v>38.128452000000003</v>
      </c>
      <c r="R9">
        <v>2.5295580000000002</v>
      </c>
      <c r="S9">
        <v>0.981012</v>
      </c>
      <c r="T9">
        <v>0.61218099999999998</v>
      </c>
      <c r="U9">
        <v>4.0247760000000001</v>
      </c>
      <c r="V9">
        <v>173.72499099999999</v>
      </c>
      <c r="W9">
        <v>282.829071</v>
      </c>
      <c r="X9">
        <v>72.684989999999999</v>
      </c>
      <c r="Y9" t="s">
        <v>108</v>
      </c>
      <c r="Z9">
        <v>1.5711630000000001</v>
      </c>
      <c r="AA9">
        <v>0.774312</v>
      </c>
      <c r="AB9">
        <v>-0.8</v>
      </c>
      <c r="AC9">
        <v>4.228777</v>
      </c>
      <c r="AD9">
        <v>0.28000000000000003</v>
      </c>
      <c r="AE9">
        <v>14.662000000000001</v>
      </c>
      <c r="AF9">
        <v>0</v>
      </c>
      <c r="AG9">
        <v>154.06433100000001</v>
      </c>
      <c r="AH9">
        <v>-14.630103999999999</v>
      </c>
      <c r="AI9">
        <v>53.939461000000001</v>
      </c>
      <c r="AJ9">
        <v>-23.770503999999999</v>
      </c>
      <c r="AK9">
        <v>157.79643200000001</v>
      </c>
      <c r="AL9">
        <v>75.340141000000003</v>
      </c>
      <c r="AM9">
        <v>21.470001</v>
      </c>
      <c r="AN9">
        <v>59.233063000000001</v>
      </c>
      <c r="AO9">
        <v>357.32824699999998</v>
      </c>
      <c r="AP9">
        <v>51.328510000000001</v>
      </c>
      <c r="AQ9">
        <v>91.758621000000005</v>
      </c>
      <c r="AR9">
        <v>106.351456</v>
      </c>
      <c r="AS9">
        <v>36.754753000000001</v>
      </c>
      <c r="AT9">
        <v>18.842027999999999</v>
      </c>
      <c r="AU9">
        <v>141.26203899999999</v>
      </c>
      <c r="AV9">
        <v>75.013512000000006</v>
      </c>
      <c r="AW9">
        <v>357.22952299999997</v>
      </c>
      <c r="AX9">
        <v>51.255282999999999</v>
      </c>
      <c r="AY9">
        <v>86.634163000000001</v>
      </c>
      <c r="AZ9">
        <v>97.035186999999993</v>
      </c>
      <c r="BA9">
        <v>40.983528</v>
      </c>
      <c r="BB9">
        <v>20.730153999999999</v>
      </c>
      <c r="BC9">
        <v>11.957544</v>
      </c>
      <c r="BD9">
        <v>40.267155000000002</v>
      </c>
      <c r="BE9">
        <v>25.300336999999999</v>
      </c>
      <c r="BF9">
        <v>24.843029000000001</v>
      </c>
      <c r="BG9">
        <v>23.658331</v>
      </c>
      <c r="BH9">
        <v>15</v>
      </c>
      <c r="BI9">
        <v>14</v>
      </c>
      <c r="BJ9">
        <v>6.6666670000000003</v>
      </c>
      <c r="BK9">
        <v>0</v>
      </c>
      <c r="BL9">
        <v>0.1</v>
      </c>
      <c r="BM9">
        <v>1.035E-2</v>
      </c>
      <c r="BN9">
        <v>-1</v>
      </c>
      <c r="BO9">
        <v>3</v>
      </c>
      <c r="BP9">
        <v>1</v>
      </c>
      <c r="BQ9">
        <v>0.249999</v>
      </c>
      <c r="BR9">
        <v>135.36303699999999</v>
      </c>
      <c r="BS9">
        <v>32.664164999999997</v>
      </c>
      <c r="BT9">
        <v>9.6000000000000002E-4</v>
      </c>
      <c r="BU9">
        <v>43.636859999999999</v>
      </c>
      <c r="BV9">
        <v>0.30866500000000002</v>
      </c>
      <c r="BW9">
        <v>1.22342</v>
      </c>
      <c r="BX9">
        <v>1.8436760000000001</v>
      </c>
      <c r="BY9">
        <v>5.2086069999999998</v>
      </c>
      <c r="BZ9">
        <v>0.82902299999999995</v>
      </c>
      <c r="CA9">
        <v>2020</v>
      </c>
      <c r="CB9">
        <v>1</v>
      </c>
      <c r="CC9">
        <v>4</v>
      </c>
      <c r="CD9">
        <v>0</v>
      </c>
      <c r="CE9">
        <v>43</v>
      </c>
      <c r="CF9">
        <v>3.88</v>
      </c>
      <c r="CG9">
        <v>2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0.39532600000000001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</row>
    <row r="10" spans="1:105" x14ac:dyDescent="0.25">
      <c r="A10">
        <v>9</v>
      </c>
      <c r="B10" t="s">
        <v>120</v>
      </c>
      <c r="C10">
        <v>58852.186651999997</v>
      </c>
      <c r="D10">
        <v>282.98876999999999</v>
      </c>
      <c r="E10" s="2" t="s">
        <v>107</v>
      </c>
      <c r="F10" s="2" t="s">
        <v>113</v>
      </c>
      <c r="G10">
        <v>-0.86688500000000002</v>
      </c>
      <c r="H10">
        <v>228.80448899999999</v>
      </c>
      <c r="I10">
        <v>49.275683999999998</v>
      </c>
      <c r="J10">
        <v>229.46250900000001</v>
      </c>
      <c r="K10">
        <v>49.222918999999997</v>
      </c>
      <c r="L10">
        <v>199.96637000000001</v>
      </c>
      <c r="M10">
        <v>63.151211000000004</v>
      </c>
      <c r="N10">
        <v>42.823635000000003</v>
      </c>
      <c r="O10">
        <v>42.823635000000003</v>
      </c>
      <c r="P10">
        <v>41.164242000000002</v>
      </c>
      <c r="Q10">
        <v>38.651263999999998</v>
      </c>
      <c r="R10">
        <v>2.8564940000000001</v>
      </c>
      <c r="S10">
        <v>0.97905299999999995</v>
      </c>
      <c r="T10">
        <v>0.657254</v>
      </c>
      <c r="U10">
        <v>4.8297499999999998</v>
      </c>
      <c r="V10">
        <v>171.58897400000001</v>
      </c>
      <c r="W10">
        <v>282.98886099999999</v>
      </c>
      <c r="X10">
        <v>72.143387000000004</v>
      </c>
      <c r="Y10" t="s">
        <v>108</v>
      </c>
      <c r="Z10">
        <v>0.43254700000000001</v>
      </c>
      <c r="AA10">
        <v>0.47330499999999998</v>
      </c>
      <c r="AB10">
        <v>-0.4</v>
      </c>
      <c r="AC10">
        <v>1.5950089999999999</v>
      </c>
      <c r="AD10">
        <v>0.18</v>
      </c>
      <c r="AE10">
        <v>9.2029999999999994</v>
      </c>
      <c r="AF10">
        <v>0</v>
      </c>
      <c r="AG10">
        <v>124.59657300000001</v>
      </c>
      <c r="AH10">
        <v>11.930777000000001</v>
      </c>
      <c r="AI10">
        <v>24.569025</v>
      </c>
      <c r="AJ10">
        <v>-35.403827999999997</v>
      </c>
      <c r="AK10">
        <v>255.48249799999999</v>
      </c>
      <c r="AL10">
        <v>72.109627000000003</v>
      </c>
      <c r="AM10">
        <v>27.322759999999999</v>
      </c>
      <c r="AN10">
        <v>47.937569000000003</v>
      </c>
      <c r="AO10">
        <v>357.33422899999999</v>
      </c>
      <c r="AP10">
        <v>51.361702000000001</v>
      </c>
      <c r="AQ10">
        <v>95.251334999999997</v>
      </c>
      <c r="AR10">
        <v>127.433739</v>
      </c>
      <c r="AS10">
        <v>25.802821999999999</v>
      </c>
      <c r="AT10">
        <v>10.627248</v>
      </c>
      <c r="AU10">
        <v>259.210419</v>
      </c>
      <c r="AV10">
        <v>73.256111000000004</v>
      </c>
      <c r="AW10">
        <v>357.271973</v>
      </c>
      <c r="AX10">
        <v>51.346049999999998</v>
      </c>
      <c r="AY10">
        <v>89.168334999999999</v>
      </c>
      <c r="AZ10">
        <v>120.540718</v>
      </c>
      <c r="BA10">
        <v>27.397832999999999</v>
      </c>
      <c r="BB10">
        <v>11.242656999999999</v>
      </c>
      <c r="BC10">
        <v>7.7082550000000003</v>
      </c>
      <c r="BD10">
        <v>68.403282000000004</v>
      </c>
      <c r="BE10">
        <v>52.002144000000001</v>
      </c>
      <c r="BF10">
        <v>51.425925999999997</v>
      </c>
      <c r="BG10">
        <v>51.018737999999999</v>
      </c>
      <c r="BH10">
        <v>10</v>
      </c>
      <c r="BI10">
        <v>9</v>
      </c>
      <c r="BJ10">
        <v>10</v>
      </c>
      <c r="BK10">
        <v>30</v>
      </c>
      <c r="BL10">
        <v>3.9469999999999998E-2</v>
      </c>
      <c r="BM10">
        <v>2.4670000000000001E-2</v>
      </c>
      <c r="BN10">
        <v>-1</v>
      </c>
      <c r="BO10">
        <v>3</v>
      </c>
      <c r="BP10">
        <v>1</v>
      </c>
      <c r="BQ10">
        <v>0</v>
      </c>
      <c r="BR10">
        <v>28.313253</v>
      </c>
      <c r="BS10">
        <v>25.067326999999999</v>
      </c>
      <c r="BT10">
        <v>1.2899999999999999E-4</v>
      </c>
      <c r="BU10">
        <v>71.564544999999995</v>
      </c>
      <c r="BV10">
        <v>0.69355299999999998</v>
      </c>
      <c r="BW10">
        <v>0.43276199999999998</v>
      </c>
      <c r="BX10">
        <v>1.9165049999999999</v>
      </c>
      <c r="BY10">
        <v>9.8300140000000003</v>
      </c>
      <c r="BZ10">
        <v>0.68811800000000001</v>
      </c>
      <c r="CA10">
        <v>2020</v>
      </c>
      <c r="CB10">
        <v>1</v>
      </c>
      <c r="CC10">
        <v>4</v>
      </c>
      <c r="CD10">
        <v>4</v>
      </c>
      <c r="CE10">
        <v>28</v>
      </c>
      <c r="CF10">
        <v>46.739998</v>
      </c>
      <c r="CG10">
        <v>2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0.35008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</row>
    <row r="11" spans="1:105" x14ac:dyDescent="0.25">
      <c r="A11">
        <v>10</v>
      </c>
      <c r="B11" t="s">
        <v>121</v>
      </c>
      <c r="C11">
        <v>58852.214279</v>
      </c>
      <c r="D11">
        <v>283.01693699999998</v>
      </c>
      <c r="E11" s="2" t="s">
        <v>107</v>
      </c>
      <c r="F11" s="2" t="s">
        <v>122</v>
      </c>
      <c r="G11">
        <v>-0.70820799999999995</v>
      </c>
      <c r="H11">
        <v>191.62158199999999</v>
      </c>
      <c r="I11">
        <v>30.840342</v>
      </c>
      <c r="J11">
        <v>191.38166799999999</v>
      </c>
      <c r="K11">
        <v>29.567443999999998</v>
      </c>
      <c r="L11">
        <v>177.396118</v>
      </c>
      <c r="M11">
        <v>31.399864000000001</v>
      </c>
      <c r="N11">
        <v>23.680171999999999</v>
      </c>
      <c r="O11">
        <v>23.680171999999999</v>
      </c>
      <c r="P11">
        <v>20.805674</v>
      </c>
      <c r="Q11">
        <v>17.727148</v>
      </c>
      <c r="R11">
        <v>0.59529399999999999</v>
      </c>
      <c r="S11">
        <v>0.18859400000000001</v>
      </c>
      <c r="T11">
        <v>0.68319200000000002</v>
      </c>
      <c r="U11">
        <v>0.45948600000000001</v>
      </c>
      <c r="V11">
        <v>352.375336</v>
      </c>
      <c r="W11">
        <v>283.01721199999997</v>
      </c>
      <c r="X11">
        <v>39.430756000000002</v>
      </c>
      <c r="Y11" t="s">
        <v>114</v>
      </c>
      <c r="Z11">
        <v>-1</v>
      </c>
      <c r="AA11">
        <v>-1</v>
      </c>
      <c r="AB11">
        <v>0.4</v>
      </c>
      <c r="AC11">
        <v>1.2172620000000001</v>
      </c>
      <c r="AD11">
        <v>0.16</v>
      </c>
      <c r="AE11">
        <v>7.49</v>
      </c>
      <c r="AF11">
        <v>0</v>
      </c>
      <c r="AG11">
        <v>76.075400999999999</v>
      </c>
      <c r="AH11">
        <v>35.838794999999998</v>
      </c>
      <c r="AI11">
        <v>292.44735700000001</v>
      </c>
      <c r="AJ11">
        <v>-17.996748</v>
      </c>
      <c r="AK11">
        <v>284.66195699999997</v>
      </c>
      <c r="AL11">
        <v>50.561954</v>
      </c>
      <c r="AM11">
        <v>43.498009000000003</v>
      </c>
      <c r="AN11">
        <v>28.446038999999999</v>
      </c>
      <c r="AO11">
        <v>358.226135</v>
      </c>
      <c r="AP11">
        <v>51.626759</v>
      </c>
      <c r="AQ11">
        <v>81.531593000000001</v>
      </c>
      <c r="AR11">
        <v>167.26357999999999</v>
      </c>
      <c r="AS11">
        <v>68.469596999999993</v>
      </c>
      <c r="AT11">
        <v>1.995682</v>
      </c>
      <c r="AU11">
        <v>286.41033900000002</v>
      </c>
      <c r="AV11">
        <v>50.076599000000002</v>
      </c>
      <c r="AW11">
        <v>358.21569799999997</v>
      </c>
      <c r="AX11">
        <v>51.638019999999997</v>
      </c>
      <c r="AY11">
        <v>78.041008000000005</v>
      </c>
      <c r="AZ11">
        <v>165.91078200000001</v>
      </c>
      <c r="BA11">
        <v>69.686858999999998</v>
      </c>
      <c r="BB11">
        <v>2.0119609999999999</v>
      </c>
      <c r="BC11">
        <v>3.7888269999999999</v>
      </c>
      <c r="BD11">
        <v>149.90257299999999</v>
      </c>
      <c r="BE11">
        <v>66.943320999999997</v>
      </c>
      <c r="BF11">
        <v>67.255477999999997</v>
      </c>
      <c r="BG11">
        <v>66.173255999999995</v>
      </c>
      <c r="BH11">
        <v>9</v>
      </c>
      <c r="BI11">
        <v>7</v>
      </c>
      <c r="BJ11">
        <v>22.222221000000001</v>
      </c>
      <c r="BK11">
        <v>26</v>
      </c>
      <c r="BL11">
        <v>3.4860000000000002E-2</v>
      </c>
      <c r="BM11">
        <v>5.3699999999999998E-3</v>
      </c>
      <c r="BN11">
        <v>-1</v>
      </c>
      <c r="BO11">
        <v>3</v>
      </c>
      <c r="BP11">
        <v>1</v>
      </c>
      <c r="BQ11">
        <v>9.0001999999999999E-2</v>
      </c>
      <c r="BR11">
        <v>267.49429300000003</v>
      </c>
      <c r="BS11">
        <v>2.1454460000000002</v>
      </c>
      <c r="BT11">
        <v>9.6509999999999999E-3</v>
      </c>
      <c r="BU11">
        <v>-23.678775999999999</v>
      </c>
      <c r="BV11">
        <v>58.888748</v>
      </c>
      <c r="BW11">
        <v>1.2896730000000001</v>
      </c>
      <c r="BX11">
        <v>56.046329</v>
      </c>
      <c r="BY11">
        <v>1596.3916019999999</v>
      </c>
      <c r="BZ11">
        <v>9.5160000000000002E-3</v>
      </c>
      <c r="CA11">
        <v>2020</v>
      </c>
      <c r="CB11">
        <v>1</v>
      </c>
      <c r="CC11">
        <v>4</v>
      </c>
      <c r="CD11">
        <v>5</v>
      </c>
      <c r="CE11">
        <v>8</v>
      </c>
      <c r="CF11">
        <v>33.729996</v>
      </c>
      <c r="CG11">
        <v>2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1.6798409999999999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25">
      <c r="A12">
        <v>11</v>
      </c>
      <c r="B12" t="s">
        <v>123</v>
      </c>
      <c r="C12">
        <v>58852.273481999997</v>
      </c>
      <c r="D12">
        <v>283.077271</v>
      </c>
      <c r="E12" s="2" t="s">
        <v>107</v>
      </c>
      <c r="F12" s="2" t="s">
        <v>106</v>
      </c>
      <c r="G12">
        <v>-1.5029729999999999</v>
      </c>
      <c r="H12">
        <v>228.966171</v>
      </c>
      <c r="I12">
        <v>47.750869999999999</v>
      </c>
      <c r="J12">
        <v>228.92950400000001</v>
      </c>
      <c r="K12">
        <v>47.757832000000001</v>
      </c>
      <c r="L12">
        <v>201.11532600000001</v>
      </c>
      <c r="M12">
        <v>61.740917000000003</v>
      </c>
      <c r="N12">
        <v>42.449440000000003</v>
      </c>
      <c r="O12">
        <v>42.449440000000003</v>
      </c>
      <c r="P12">
        <v>40.847965000000002</v>
      </c>
      <c r="Q12">
        <v>37.759799999999998</v>
      </c>
      <c r="R12">
        <v>2.34266</v>
      </c>
      <c r="S12">
        <v>0.97644600000000004</v>
      </c>
      <c r="T12">
        <v>0.58318899999999996</v>
      </c>
      <c r="U12">
        <v>3.5870600000000001</v>
      </c>
      <c r="V12">
        <v>168.879211</v>
      </c>
      <c r="W12">
        <v>283.07736199999999</v>
      </c>
      <c r="X12">
        <v>72.803237999999993</v>
      </c>
      <c r="Y12" t="s">
        <v>108</v>
      </c>
      <c r="Z12">
        <v>1.898765</v>
      </c>
      <c r="AA12">
        <v>1.237997</v>
      </c>
      <c r="AB12">
        <v>-0.2</v>
      </c>
      <c r="AC12">
        <v>0.924373</v>
      </c>
      <c r="AD12">
        <v>0.08</v>
      </c>
      <c r="AE12">
        <v>11.538</v>
      </c>
      <c r="AF12">
        <v>0</v>
      </c>
      <c r="AG12">
        <v>119.24456000000001</v>
      </c>
      <c r="AH12">
        <v>17.040775</v>
      </c>
      <c r="AI12">
        <v>356.51825000000002</v>
      </c>
      <c r="AJ12">
        <v>-37.894882000000003</v>
      </c>
      <c r="AK12">
        <v>350.64584400000001</v>
      </c>
      <c r="AL12">
        <v>63.829006</v>
      </c>
      <c r="AM12">
        <v>13.216773999999999</v>
      </c>
      <c r="AN12">
        <v>26.656884999999999</v>
      </c>
      <c r="AO12">
        <v>-2.6744210000000002</v>
      </c>
      <c r="AP12">
        <v>52.102364000000001</v>
      </c>
      <c r="AQ12">
        <v>84.102530999999999</v>
      </c>
      <c r="AR12">
        <v>183.06942699999999</v>
      </c>
      <c r="AS12">
        <v>59.428992999999998</v>
      </c>
      <c r="AT12">
        <v>41.232577999999997</v>
      </c>
      <c r="AU12">
        <v>352.00769000000003</v>
      </c>
      <c r="AV12">
        <v>63.132728999999998</v>
      </c>
      <c r="AW12">
        <v>-2.690855</v>
      </c>
      <c r="AX12">
        <v>52.102474000000001</v>
      </c>
      <c r="AY12">
        <v>80.903953999999999</v>
      </c>
      <c r="AZ12">
        <v>181.36932400000001</v>
      </c>
      <c r="BA12">
        <v>60.353366999999999</v>
      </c>
      <c r="BB12">
        <v>41.705008999999997</v>
      </c>
      <c r="BC12">
        <v>3.3959549999999998</v>
      </c>
      <c r="BD12">
        <v>91.012839999999997</v>
      </c>
      <c r="BE12">
        <v>70.322425999999993</v>
      </c>
      <c r="BF12">
        <v>69.953941</v>
      </c>
      <c r="BG12">
        <v>69.979491999999993</v>
      </c>
      <c r="BH12">
        <v>5</v>
      </c>
      <c r="BI12">
        <v>5</v>
      </c>
      <c r="BJ12">
        <v>0</v>
      </c>
      <c r="BK12">
        <v>20</v>
      </c>
      <c r="BL12">
        <v>4.079E-2</v>
      </c>
      <c r="BM12">
        <v>1.085E-2</v>
      </c>
      <c r="BN12">
        <v>-1</v>
      </c>
      <c r="BO12">
        <v>3</v>
      </c>
      <c r="BP12">
        <v>1</v>
      </c>
      <c r="BQ12">
        <v>0</v>
      </c>
      <c r="BR12">
        <v>156.88954200000001</v>
      </c>
      <c r="BS12">
        <v>49.949382999999997</v>
      </c>
      <c r="BT12">
        <v>0.213086</v>
      </c>
      <c r="BU12">
        <v>43.689224000000003</v>
      </c>
      <c r="BV12">
        <v>1.1449659999999999</v>
      </c>
      <c r="BW12">
        <v>2.5616E-2</v>
      </c>
      <c r="BX12">
        <v>3.893046</v>
      </c>
      <c r="BY12">
        <v>5.8516029999999999</v>
      </c>
      <c r="BZ12">
        <v>0.821017</v>
      </c>
      <c r="CA12">
        <v>2020</v>
      </c>
      <c r="CB12">
        <v>1</v>
      </c>
      <c r="CC12">
        <v>4</v>
      </c>
      <c r="CD12">
        <v>6</v>
      </c>
      <c r="CE12">
        <v>33</v>
      </c>
      <c r="CF12">
        <v>48.869995000000003</v>
      </c>
      <c r="CG12">
        <v>2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0.42686499999999999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</row>
    <row r="13" spans="1:105" x14ac:dyDescent="0.25">
      <c r="A13">
        <v>12</v>
      </c>
      <c r="B13" t="s">
        <v>124</v>
      </c>
      <c r="C13">
        <v>58854.914358000002</v>
      </c>
      <c r="D13">
        <v>285.76870700000001</v>
      </c>
      <c r="E13" s="2" t="s">
        <v>122</v>
      </c>
      <c r="F13" s="2" t="s">
        <v>125</v>
      </c>
      <c r="G13">
        <v>-2.7184780000000002</v>
      </c>
      <c r="H13">
        <v>85.950844000000004</v>
      </c>
      <c r="I13">
        <v>6.8673679999999999</v>
      </c>
      <c r="J13">
        <v>86.095871000000002</v>
      </c>
      <c r="K13">
        <v>1.954375</v>
      </c>
      <c r="L13">
        <v>85.807982999999993</v>
      </c>
      <c r="M13">
        <v>-21.425515999999998</v>
      </c>
      <c r="N13">
        <v>19.353394000000002</v>
      </c>
      <c r="O13">
        <v>19.353394000000002</v>
      </c>
      <c r="P13">
        <v>15.728832000000001</v>
      </c>
      <c r="Q13">
        <v>38.293987000000001</v>
      </c>
      <c r="R13">
        <v>2.6242540000000001</v>
      </c>
      <c r="S13">
        <v>0.82612699999999994</v>
      </c>
      <c r="T13">
        <v>0.68519600000000003</v>
      </c>
      <c r="U13">
        <v>4.252885</v>
      </c>
      <c r="V13">
        <v>52.628487</v>
      </c>
      <c r="W13">
        <v>105.76757000000001</v>
      </c>
      <c r="X13">
        <v>9.2493850000000002</v>
      </c>
      <c r="Y13" t="s">
        <v>114</v>
      </c>
      <c r="Z13">
        <v>-1</v>
      </c>
      <c r="AA13">
        <v>-1</v>
      </c>
      <c r="AB13">
        <v>-1.6</v>
      </c>
      <c r="AC13">
        <v>13.027404000000001</v>
      </c>
      <c r="AD13">
        <v>2.06</v>
      </c>
      <c r="AE13">
        <v>6.2830000000000004</v>
      </c>
      <c r="AF13">
        <v>0</v>
      </c>
      <c r="AG13">
        <v>211.84660299999999</v>
      </c>
      <c r="AH13">
        <v>78.392234999999999</v>
      </c>
      <c r="AI13">
        <v>282.268036</v>
      </c>
      <c r="AJ13">
        <v>-11.687989</v>
      </c>
      <c r="AK13">
        <v>19.381262</v>
      </c>
      <c r="AL13">
        <v>11.341303999999999</v>
      </c>
      <c r="AM13">
        <v>247.12983700000001</v>
      </c>
      <c r="AN13">
        <v>30.296329</v>
      </c>
      <c r="AO13">
        <v>356.78738399999997</v>
      </c>
      <c r="AP13">
        <v>52.222453999999999</v>
      </c>
      <c r="AQ13">
        <v>88.713881999999998</v>
      </c>
      <c r="AR13">
        <v>173.48629800000001</v>
      </c>
      <c r="AS13">
        <v>65.758255000000005</v>
      </c>
      <c r="AT13">
        <v>23.571753000000001</v>
      </c>
      <c r="AU13">
        <v>6.1413399999999996</v>
      </c>
      <c r="AV13">
        <v>10.485849</v>
      </c>
      <c r="AW13">
        <v>356.64742999999999</v>
      </c>
      <c r="AX13">
        <v>52.465736</v>
      </c>
      <c r="AY13">
        <v>61.487141000000001</v>
      </c>
      <c r="AZ13">
        <v>161.26765399999999</v>
      </c>
      <c r="BA13">
        <v>78.785659999999993</v>
      </c>
      <c r="BB13">
        <v>25.479994000000001</v>
      </c>
      <c r="BC13">
        <v>39.867989000000001</v>
      </c>
      <c r="BD13">
        <v>160.34037799999999</v>
      </c>
      <c r="BE13">
        <v>43.151237000000002</v>
      </c>
      <c r="BF13">
        <v>43.031101</v>
      </c>
      <c r="BG13">
        <v>38.167178999999997</v>
      </c>
      <c r="BH13">
        <v>104</v>
      </c>
      <c r="BI13">
        <v>104</v>
      </c>
      <c r="BJ13">
        <v>0</v>
      </c>
      <c r="BK13">
        <v>12</v>
      </c>
      <c r="BL13">
        <v>0.16256000000000001</v>
      </c>
      <c r="BM13">
        <v>8.0099999999999998E-3</v>
      </c>
      <c r="BN13">
        <v>-1</v>
      </c>
      <c r="BO13">
        <v>3</v>
      </c>
      <c r="BP13">
        <v>1</v>
      </c>
      <c r="BQ13">
        <v>4.0002000000000003E-2</v>
      </c>
      <c r="BR13">
        <v>98.427750000000003</v>
      </c>
      <c r="BS13">
        <v>26.012658999999999</v>
      </c>
      <c r="BT13">
        <v>1.8000000000000001E-4</v>
      </c>
      <c r="BU13">
        <v>94.513512000000006</v>
      </c>
      <c r="BV13">
        <v>0.13249900000000001</v>
      </c>
      <c r="BW13">
        <v>4.9151189999999998</v>
      </c>
      <c r="BX13">
        <v>2.2524630000000001</v>
      </c>
      <c r="BY13">
        <v>5.2359010000000001</v>
      </c>
      <c r="BZ13">
        <v>0.83941100000000002</v>
      </c>
      <c r="CA13">
        <v>2020</v>
      </c>
      <c r="CB13">
        <v>1</v>
      </c>
      <c r="CC13">
        <v>6</v>
      </c>
      <c r="CD13">
        <v>21</v>
      </c>
      <c r="CE13">
        <v>56</v>
      </c>
      <c r="CF13">
        <v>40.510002</v>
      </c>
      <c r="CG13">
        <v>2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0.38106099999999998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</row>
    <row r="14" spans="1:105" x14ac:dyDescent="0.25">
      <c r="A14">
        <v>13</v>
      </c>
      <c r="B14" t="s">
        <v>126</v>
      </c>
      <c r="C14">
        <v>58855.148829999998</v>
      </c>
      <c r="D14">
        <v>286.00762900000001</v>
      </c>
      <c r="E14" s="2" t="s">
        <v>127</v>
      </c>
      <c r="F14" s="2" t="s">
        <v>106</v>
      </c>
      <c r="G14">
        <v>-3.5410140000000001</v>
      </c>
      <c r="H14">
        <v>218.93832399999999</v>
      </c>
      <c r="I14">
        <v>50.226151000000002</v>
      </c>
      <c r="J14">
        <v>219.59996000000001</v>
      </c>
      <c r="K14">
        <v>50.167029999999997</v>
      </c>
      <c r="L14">
        <v>187.98022499999999</v>
      </c>
      <c r="M14">
        <v>60.107109000000001</v>
      </c>
      <c r="N14">
        <v>43.500644999999999</v>
      </c>
      <c r="O14">
        <v>43.500644999999999</v>
      </c>
      <c r="P14">
        <v>41.878219999999999</v>
      </c>
      <c r="Q14">
        <v>37.669623999999999</v>
      </c>
      <c r="R14">
        <v>2.301396</v>
      </c>
      <c r="S14">
        <v>0.97529900000000003</v>
      </c>
      <c r="T14">
        <v>0.576214</v>
      </c>
      <c r="U14">
        <v>3.4927030000000001</v>
      </c>
      <c r="V14">
        <v>192.07583600000001</v>
      </c>
      <c r="W14">
        <v>286.00765999999999</v>
      </c>
      <c r="X14">
        <v>75.172561999999999</v>
      </c>
      <c r="Y14" t="s">
        <v>114</v>
      </c>
      <c r="Z14">
        <v>-1</v>
      </c>
      <c r="AA14">
        <v>-1</v>
      </c>
      <c r="AB14">
        <v>-1.7</v>
      </c>
      <c r="AC14">
        <v>5.1601280000000003</v>
      </c>
      <c r="AD14">
        <v>0.5</v>
      </c>
      <c r="AE14">
        <v>10.013999999999999</v>
      </c>
      <c r="AF14">
        <v>0</v>
      </c>
      <c r="AG14">
        <v>27.934415999999999</v>
      </c>
      <c r="AH14">
        <v>39.251961000000001</v>
      </c>
      <c r="AI14">
        <v>26.071114999999999</v>
      </c>
      <c r="AJ14">
        <v>-34.706367</v>
      </c>
      <c r="AK14">
        <v>114.565842</v>
      </c>
      <c r="AL14">
        <v>-4.1131900000000003</v>
      </c>
      <c r="AM14">
        <v>228.149506</v>
      </c>
      <c r="AN14">
        <v>22.238869000000001</v>
      </c>
      <c r="AO14">
        <v>356.51928700000002</v>
      </c>
      <c r="AP14">
        <v>51.474209000000002</v>
      </c>
      <c r="AQ14">
        <v>90.620956000000007</v>
      </c>
      <c r="AR14">
        <v>230.65394599999999</v>
      </c>
      <c r="AS14">
        <v>102.32886499999999</v>
      </c>
      <c r="AT14">
        <v>52.939754000000001</v>
      </c>
      <c r="AU14">
        <v>111.26213799999999</v>
      </c>
      <c r="AV14">
        <v>-8.0931850000000001</v>
      </c>
      <c r="AW14">
        <v>356.34362800000002</v>
      </c>
      <c r="AX14">
        <v>51.425488000000001</v>
      </c>
      <c r="AY14">
        <v>73.576378000000005</v>
      </c>
      <c r="AZ14">
        <v>236.25563</v>
      </c>
      <c r="BA14">
        <v>107.488991</v>
      </c>
      <c r="BB14">
        <v>51.176547999999997</v>
      </c>
      <c r="BC14">
        <v>21.750322000000001</v>
      </c>
      <c r="BD14">
        <v>66.396056999999999</v>
      </c>
      <c r="BE14">
        <v>51.518635000000003</v>
      </c>
      <c r="BF14">
        <v>53.29121</v>
      </c>
      <c r="BG14">
        <v>52.890503000000002</v>
      </c>
      <c r="BH14">
        <v>26</v>
      </c>
      <c r="BI14">
        <v>25</v>
      </c>
      <c r="BJ14">
        <v>3.8461539999999999</v>
      </c>
      <c r="BK14">
        <v>46</v>
      </c>
      <c r="BL14">
        <v>2.7799999999999998E-2</v>
      </c>
      <c r="BM14">
        <v>8.1700000000000002E-3</v>
      </c>
      <c r="BN14">
        <v>-1</v>
      </c>
      <c r="BO14">
        <v>3</v>
      </c>
      <c r="BP14">
        <v>1</v>
      </c>
      <c r="BQ14">
        <v>0.49999700000000002</v>
      </c>
      <c r="BR14">
        <v>201.685608</v>
      </c>
      <c r="BS14">
        <v>54.769714</v>
      </c>
      <c r="BT14">
        <v>0.42382199999999998</v>
      </c>
      <c r="BU14">
        <v>11.83062</v>
      </c>
      <c r="BV14">
        <v>0.119836</v>
      </c>
      <c r="BW14">
        <v>0.42765500000000001</v>
      </c>
      <c r="BX14">
        <v>0.749803</v>
      </c>
      <c r="BY14">
        <v>0.96242000000000005</v>
      </c>
      <c r="BZ14">
        <v>0.959642</v>
      </c>
      <c r="CA14">
        <v>2020</v>
      </c>
      <c r="CB14">
        <v>1</v>
      </c>
      <c r="CC14">
        <v>7</v>
      </c>
      <c r="CD14">
        <v>3</v>
      </c>
      <c r="CE14">
        <v>34</v>
      </c>
      <c r="CF14">
        <v>18.870003000000001</v>
      </c>
      <c r="CG14">
        <v>2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0.43451899999999999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</row>
    <row r="15" spans="1:105" x14ac:dyDescent="0.25">
      <c r="A15">
        <v>14</v>
      </c>
      <c r="B15" t="s">
        <v>128</v>
      </c>
      <c r="C15">
        <v>58860.975124999997</v>
      </c>
      <c r="D15">
        <v>291.94326799999999</v>
      </c>
      <c r="E15" s="2" t="s">
        <v>125</v>
      </c>
      <c r="F15" s="2" t="s">
        <v>106</v>
      </c>
      <c r="G15">
        <v>-0.65246400000000004</v>
      </c>
      <c r="H15">
        <v>224.789795</v>
      </c>
      <c r="I15">
        <v>68.943404999999998</v>
      </c>
      <c r="J15">
        <v>228.28428600000001</v>
      </c>
      <c r="K15">
        <v>68.058341999999996</v>
      </c>
      <c r="L15">
        <v>155.55755600000001</v>
      </c>
      <c r="M15">
        <v>74.149612000000005</v>
      </c>
      <c r="N15">
        <v>33.829543999999999</v>
      </c>
      <c r="O15">
        <v>33.829543999999999</v>
      </c>
      <c r="P15">
        <v>31.838587</v>
      </c>
      <c r="Q15">
        <v>39.570835000000002</v>
      </c>
      <c r="R15">
        <v>3.722566</v>
      </c>
      <c r="S15">
        <v>0.954986</v>
      </c>
      <c r="T15">
        <v>0.74346000000000001</v>
      </c>
      <c r="U15">
        <v>7.1851929999999999</v>
      </c>
      <c r="V15">
        <v>201.22167999999999</v>
      </c>
      <c r="W15">
        <v>291.94323700000001</v>
      </c>
      <c r="X15">
        <v>51.604495999999997</v>
      </c>
      <c r="Y15" t="s">
        <v>129</v>
      </c>
      <c r="Z15">
        <v>2.8627069999999999</v>
      </c>
      <c r="AA15">
        <v>0.12134499999999999</v>
      </c>
      <c r="AB15">
        <v>0</v>
      </c>
      <c r="AC15">
        <v>1.632668</v>
      </c>
      <c r="AD15">
        <v>0.16</v>
      </c>
      <c r="AE15">
        <v>9.44</v>
      </c>
      <c r="AF15">
        <v>0</v>
      </c>
      <c r="AG15">
        <v>107.435165</v>
      </c>
      <c r="AH15">
        <v>10.032125000000001</v>
      </c>
      <c r="AI15">
        <v>69.823143000000002</v>
      </c>
      <c r="AJ15">
        <v>-13.249606</v>
      </c>
      <c r="AK15">
        <v>357.68853799999999</v>
      </c>
      <c r="AL15">
        <v>62.363315999999998</v>
      </c>
      <c r="AM15">
        <v>324.68731700000001</v>
      </c>
      <c r="AN15">
        <v>39.040958000000003</v>
      </c>
      <c r="AO15">
        <v>357.78491200000002</v>
      </c>
      <c r="AP15">
        <v>52.636890000000001</v>
      </c>
      <c r="AQ15">
        <v>86.919005999999996</v>
      </c>
      <c r="AR15">
        <v>136.95289600000001</v>
      </c>
      <c r="AS15">
        <v>44.495624999999997</v>
      </c>
      <c r="AT15">
        <v>19.054693</v>
      </c>
      <c r="AU15">
        <v>358.94699100000003</v>
      </c>
      <c r="AV15">
        <v>60.844211999999999</v>
      </c>
      <c r="AW15">
        <v>357.761414</v>
      </c>
      <c r="AX15">
        <v>52.601925000000001</v>
      </c>
      <c r="AY15">
        <v>83.566306999999995</v>
      </c>
      <c r="AZ15">
        <v>133.14604199999999</v>
      </c>
      <c r="BA15">
        <v>46.128292000000002</v>
      </c>
      <c r="BB15">
        <v>19.621490000000001</v>
      </c>
      <c r="BC15">
        <v>5.4127270000000003</v>
      </c>
      <c r="BD15">
        <v>22.340343000000001</v>
      </c>
      <c r="BE15">
        <v>38.221057999999999</v>
      </c>
      <c r="BF15">
        <v>37.718322999999998</v>
      </c>
      <c r="BG15">
        <v>36.224097999999998</v>
      </c>
      <c r="BH15">
        <v>9</v>
      </c>
      <c r="BI15">
        <v>8</v>
      </c>
      <c r="BJ15">
        <v>11.111110999999999</v>
      </c>
      <c r="BK15">
        <v>20</v>
      </c>
      <c r="BL15">
        <v>2.7449999999999999E-2</v>
      </c>
      <c r="BM15">
        <v>2.7570000000000001E-2</v>
      </c>
      <c r="BN15">
        <v>-1</v>
      </c>
      <c r="BO15">
        <v>3</v>
      </c>
      <c r="BP15">
        <v>1</v>
      </c>
      <c r="BQ15">
        <v>0.120005</v>
      </c>
      <c r="BR15">
        <v>105.113434</v>
      </c>
      <c r="BS15">
        <v>27.763157</v>
      </c>
      <c r="BT15">
        <v>2.1497660000000001</v>
      </c>
      <c r="BU15">
        <v>34.500149</v>
      </c>
      <c r="BV15">
        <v>2.683284</v>
      </c>
      <c r="BW15">
        <v>1.556403</v>
      </c>
      <c r="BX15">
        <v>2.2223320000000002</v>
      </c>
      <c r="BY15">
        <v>6.6179259999999998</v>
      </c>
      <c r="BZ15">
        <v>0.78038700000000005</v>
      </c>
      <c r="CA15">
        <v>2020</v>
      </c>
      <c r="CB15">
        <v>1</v>
      </c>
      <c r="CC15">
        <v>12</v>
      </c>
      <c r="CD15">
        <v>23</v>
      </c>
      <c r="CE15">
        <v>24</v>
      </c>
      <c r="CF15">
        <v>10.809998</v>
      </c>
      <c r="CG15">
        <v>2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0.26863199999999998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</row>
    <row r="16" spans="1:105" x14ac:dyDescent="0.25">
      <c r="A16">
        <v>15</v>
      </c>
      <c r="B16" t="s">
        <v>130</v>
      </c>
      <c r="C16">
        <v>58861.149227000002</v>
      </c>
      <c r="D16">
        <v>292.12060500000001</v>
      </c>
      <c r="E16" s="2" t="s">
        <v>110</v>
      </c>
      <c r="F16" s="2" t="s">
        <v>107</v>
      </c>
      <c r="G16">
        <v>-0.97331400000000001</v>
      </c>
      <c r="H16">
        <v>218.055374</v>
      </c>
      <c r="I16">
        <v>18.221498</v>
      </c>
      <c r="J16">
        <v>218.23400899999999</v>
      </c>
      <c r="K16">
        <v>17.849422000000001</v>
      </c>
      <c r="L16">
        <v>209.24139400000001</v>
      </c>
      <c r="M16">
        <v>31.032821999999999</v>
      </c>
      <c r="N16">
        <v>57.309780000000003</v>
      </c>
      <c r="O16">
        <v>57.309780000000003</v>
      </c>
      <c r="P16">
        <v>55.985416000000001</v>
      </c>
      <c r="Q16">
        <v>34.202964999999999</v>
      </c>
      <c r="R16">
        <v>1.3985860000000001</v>
      </c>
      <c r="S16">
        <v>0.92125999999999997</v>
      </c>
      <c r="T16">
        <v>0.34129199999999998</v>
      </c>
      <c r="U16">
        <v>1.6546590000000001</v>
      </c>
      <c r="V16">
        <v>138.724152</v>
      </c>
      <c r="W16">
        <v>292.12060500000001</v>
      </c>
      <c r="X16">
        <v>120.984116</v>
      </c>
      <c r="Y16" t="s">
        <v>114</v>
      </c>
      <c r="Z16">
        <v>-1</v>
      </c>
      <c r="AA16">
        <v>-1</v>
      </c>
      <c r="AB16">
        <v>-0.7</v>
      </c>
      <c r="AC16">
        <v>2.573626</v>
      </c>
      <c r="AD16">
        <v>0.12</v>
      </c>
      <c r="AE16">
        <v>21.783999999999999</v>
      </c>
      <c r="AF16">
        <v>0</v>
      </c>
      <c r="AG16">
        <v>128.31134</v>
      </c>
      <c r="AH16">
        <v>-0.77750200000000003</v>
      </c>
      <c r="AI16">
        <v>335.87179600000002</v>
      </c>
      <c r="AJ16">
        <v>-35.423672000000003</v>
      </c>
      <c r="AK16">
        <v>216.665009</v>
      </c>
      <c r="AL16">
        <v>64.715835999999996</v>
      </c>
      <c r="AM16">
        <v>43.942562000000002</v>
      </c>
      <c r="AN16">
        <v>60.760829999999999</v>
      </c>
      <c r="AO16">
        <v>359.24566700000003</v>
      </c>
      <c r="AP16">
        <v>52.228805999999999</v>
      </c>
      <c r="AQ16">
        <v>101.346535</v>
      </c>
      <c r="AR16">
        <v>115.72376300000001</v>
      </c>
      <c r="AS16">
        <v>46.503773000000002</v>
      </c>
      <c r="AT16">
        <v>32.714877999999999</v>
      </c>
      <c r="AU16">
        <v>216.45330799999999</v>
      </c>
      <c r="AV16">
        <v>67.288025000000005</v>
      </c>
      <c r="AW16">
        <v>359.17044099999998</v>
      </c>
      <c r="AX16">
        <v>52.244514000000002</v>
      </c>
      <c r="AY16">
        <v>97.240523999999994</v>
      </c>
      <c r="AZ16">
        <v>111.102226</v>
      </c>
      <c r="BA16">
        <v>49.077396</v>
      </c>
      <c r="BB16">
        <v>34.259388000000001</v>
      </c>
      <c r="BC16">
        <v>6.877173</v>
      </c>
      <c r="BD16">
        <v>108.796471</v>
      </c>
      <c r="BE16">
        <v>36.476993999999998</v>
      </c>
      <c r="BF16">
        <v>36.263187000000002</v>
      </c>
      <c r="BG16">
        <v>35.865456000000002</v>
      </c>
      <c r="BH16">
        <v>7</v>
      </c>
      <c r="BI16">
        <v>7</v>
      </c>
      <c r="BJ16">
        <v>0</v>
      </c>
      <c r="BK16">
        <v>2</v>
      </c>
      <c r="BL16">
        <v>0.10267999999999999</v>
      </c>
      <c r="BM16">
        <v>3.022E-2</v>
      </c>
      <c r="BN16">
        <v>-1</v>
      </c>
      <c r="BO16">
        <v>3</v>
      </c>
      <c r="BP16">
        <v>1</v>
      </c>
      <c r="BQ16">
        <v>0.19999900000000001</v>
      </c>
      <c r="BR16">
        <v>186.06214900000001</v>
      </c>
      <c r="BS16">
        <v>48.161597999999998</v>
      </c>
      <c r="BT16">
        <v>1.331698</v>
      </c>
      <c r="BU16">
        <v>88.065544000000003</v>
      </c>
      <c r="BV16">
        <v>1.913678</v>
      </c>
      <c r="BW16">
        <v>0.40901300000000002</v>
      </c>
      <c r="BX16">
        <v>2.9204949999999998</v>
      </c>
      <c r="BY16">
        <v>5.1879289999999996</v>
      </c>
      <c r="BZ16">
        <v>0.84084400000000004</v>
      </c>
      <c r="CA16">
        <v>2020</v>
      </c>
      <c r="CB16">
        <v>1</v>
      </c>
      <c r="CC16">
        <v>13</v>
      </c>
      <c r="CD16">
        <v>3</v>
      </c>
      <c r="CE16">
        <v>34</v>
      </c>
      <c r="CF16">
        <v>53.200001</v>
      </c>
      <c r="CG16">
        <v>2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0.71500799999999998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</row>
    <row r="17" spans="1:105" x14ac:dyDescent="0.25">
      <c r="A17">
        <v>16</v>
      </c>
      <c r="B17" t="s">
        <v>131</v>
      </c>
      <c r="C17">
        <v>58861.167884000002</v>
      </c>
      <c r="D17">
        <v>292.13958700000001</v>
      </c>
      <c r="E17" s="2" t="s">
        <v>122</v>
      </c>
      <c r="F17" s="2" t="s">
        <v>106</v>
      </c>
      <c r="G17">
        <v>-2.6795100000000001</v>
      </c>
      <c r="H17">
        <v>209.54373200000001</v>
      </c>
      <c r="I17">
        <v>42.115668999999997</v>
      </c>
      <c r="J17">
        <v>209.70886200000001</v>
      </c>
      <c r="K17">
        <v>42.003875999999998</v>
      </c>
      <c r="L17">
        <v>186.34210200000001</v>
      </c>
      <c r="M17">
        <v>49.503844999999998</v>
      </c>
      <c r="N17">
        <v>44.358745999999996</v>
      </c>
      <c r="O17">
        <v>44.358745999999996</v>
      </c>
      <c r="P17">
        <v>42.794181999999999</v>
      </c>
      <c r="Q17">
        <v>33.578079000000002</v>
      </c>
      <c r="R17">
        <v>1.311045</v>
      </c>
      <c r="S17">
        <v>0.87827500000000003</v>
      </c>
      <c r="T17">
        <v>0.33009500000000003</v>
      </c>
      <c r="U17">
        <v>1.5017609999999999</v>
      </c>
      <c r="V17">
        <v>235.310013</v>
      </c>
      <c r="W17">
        <v>292.13958700000001</v>
      </c>
      <c r="X17">
        <v>83.809501999999995</v>
      </c>
      <c r="Y17" t="s">
        <v>132</v>
      </c>
      <c r="Z17">
        <v>5.0472970000000004</v>
      </c>
      <c r="AA17">
        <v>18.642237000000002</v>
      </c>
      <c r="AB17">
        <v>-0.5</v>
      </c>
      <c r="AC17">
        <v>2.4219840000000001</v>
      </c>
      <c r="AD17">
        <v>0.26</v>
      </c>
      <c r="AE17">
        <v>11.144</v>
      </c>
      <c r="AF17">
        <v>0</v>
      </c>
      <c r="AG17">
        <v>37.946067999999997</v>
      </c>
      <c r="AH17">
        <v>47.576576000000003</v>
      </c>
      <c r="AI17">
        <v>353.69946299999998</v>
      </c>
      <c r="AJ17">
        <v>-38.650288000000003</v>
      </c>
      <c r="AK17">
        <v>123.708595</v>
      </c>
      <c r="AL17">
        <v>-3.863127</v>
      </c>
      <c r="AM17">
        <v>231.730637</v>
      </c>
      <c r="AN17">
        <v>20.756575000000002</v>
      </c>
      <c r="AO17">
        <v>355.94641100000001</v>
      </c>
      <c r="AP17">
        <v>51.328217000000002</v>
      </c>
      <c r="AQ17">
        <v>101.466286</v>
      </c>
      <c r="AR17">
        <v>272.76370200000002</v>
      </c>
      <c r="AS17">
        <v>89.509026000000006</v>
      </c>
      <c r="AT17">
        <v>45.684612000000001</v>
      </c>
      <c r="AU17">
        <v>121.908646</v>
      </c>
      <c r="AV17">
        <v>-5.4903789999999999</v>
      </c>
      <c r="AW17">
        <v>355.86694299999999</v>
      </c>
      <c r="AX17">
        <v>51.329712000000001</v>
      </c>
      <c r="AY17">
        <v>91.398139999999998</v>
      </c>
      <c r="AZ17">
        <v>272.908661</v>
      </c>
      <c r="BA17">
        <v>91.931015000000002</v>
      </c>
      <c r="BB17">
        <v>45.653449999999999</v>
      </c>
      <c r="BC17">
        <v>11.533274</v>
      </c>
      <c r="BD17">
        <v>92.083359000000002</v>
      </c>
      <c r="BE17">
        <v>60.647697000000001</v>
      </c>
      <c r="BF17">
        <v>62.274890999999997</v>
      </c>
      <c r="BG17">
        <v>62.109927999999996</v>
      </c>
      <c r="BH17">
        <v>14</v>
      </c>
      <c r="BI17">
        <v>13</v>
      </c>
      <c r="BJ17">
        <v>7.1428570000000002</v>
      </c>
      <c r="BK17">
        <v>8</v>
      </c>
      <c r="BL17">
        <v>2.7050000000000001E-2</v>
      </c>
      <c r="BM17">
        <v>5.2199999999999998E-3</v>
      </c>
      <c r="BN17">
        <v>-1</v>
      </c>
      <c r="BO17">
        <v>3</v>
      </c>
      <c r="BP17">
        <v>1</v>
      </c>
      <c r="BQ17">
        <v>0.23000300000000001</v>
      </c>
      <c r="BR17">
        <v>201.685608</v>
      </c>
      <c r="BS17">
        <v>45.686768000000001</v>
      </c>
      <c r="BT17">
        <v>6.6699999999999995E-4</v>
      </c>
      <c r="BU17">
        <v>80.737960999999999</v>
      </c>
      <c r="BV17">
        <v>10.742711999999999</v>
      </c>
      <c r="BW17">
        <v>0.16591800000000001</v>
      </c>
      <c r="BX17">
        <v>1.5089319999999999</v>
      </c>
      <c r="BY17">
        <v>2.1100249999999998</v>
      </c>
      <c r="BZ17">
        <v>0.91947100000000004</v>
      </c>
      <c r="CA17">
        <v>2020</v>
      </c>
      <c r="CB17">
        <v>1</v>
      </c>
      <c r="CC17">
        <v>13</v>
      </c>
      <c r="CD17">
        <v>4</v>
      </c>
      <c r="CE17">
        <v>1</v>
      </c>
      <c r="CF17">
        <v>45.150002000000001</v>
      </c>
      <c r="CG17">
        <v>2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0.76275099999999996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25">
      <c r="A18">
        <v>17</v>
      </c>
      <c r="B18" t="s">
        <v>133</v>
      </c>
      <c r="C18">
        <v>58863.753235999997</v>
      </c>
      <c r="D18">
        <v>294.77279700000003</v>
      </c>
      <c r="E18" s="2" t="s">
        <v>125</v>
      </c>
      <c r="F18" s="2" t="s">
        <v>122</v>
      </c>
      <c r="G18">
        <v>-0.904393</v>
      </c>
      <c r="H18">
        <v>85.491814000000005</v>
      </c>
      <c r="I18">
        <v>38.742263999999999</v>
      </c>
      <c r="J18">
        <v>93.609497000000005</v>
      </c>
      <c r="K18">
        <v>33.22448</v>
      </c>
      <c r="L18">
        <v>93.063843000000006</v>
      </c>
      <c r="M18">
        <v>9.8261800000000008</v>
      </c>
      <c r="N18">
        <v>14.950264000000001</v>
      </c>
      <c r="O18">
        <v>14.950264000000001</v>
      </c>
      <c r="P18">
        <v>9.6310520000000004</v>
      </c>
      <c r="Q18">
        <v>34.924182999999999</v>
      </c>
      <c r="R18">
        <v>1.518602</v>
      </c>
      <c r="S18">
        <v>0.87696300000000005</v>
      </c>
      <c r="T18">
        <v>0.42252000000000001</v>
      </c>
      <c r="U18">
        <v>1.8721509999999999</v>
      </c>
      <c r="V18">
        <v>230.57641599999999</v>
      </c>
      <c r="W18">
        <v>294.77166699999998</v>
      </c>
      <c r="X18">
        <v>2.7856190000000001</v>
      </c>
      <c r="Y18" t="s">
        <v>114</v>
      </c>
      <c r="Z18">
        <v>-1</v>
      </c>
      <c r="AA18">
        <v>-1</v>
      </c>
      <c r="AB18">
        <v>-1.3</v>
      </c>
      <c r="AC18">
        <v>7.427664</v>
      </c>
      <c r="AD18">
        <v>0.96</v>
      </c>
      <c r="AE18">
        <v>9.1850000000000005</v>
      </c>
      <c r="AF18">
        <v>0</v>
      </c>
      <c r="AG18">
        <v>10.384003999999999</v>
      </c>
      <c r="AH18">
        <v>-17.760538</v>
      </c>
      <c r="AI18">
        <v>7.9633139999999996</v>
      </c>
      <c r="AJ18">
        <v>-37.497883000000002</v>
      </c>
      <c r="AK18">
        <v>22.80302</v>
      </c>
      <c r="AL18">
        <v>71.841560000000001</v>
      </c>
      <c r="AM18">
        <v>358.80993699999999</v>
      </c>
      <c r="AN18">
        <v>69.914000999999999</v>
      </c>
      <c r="AO18">
        <v>358.67150900000001</v>
      </c>
      <c r="AP18">
        <v>52.136021</v>
      </c>
      <c r="AQ18">
        <v>82.920242000000002</v>
      </c>
      <c r="AR18">
        <v>88.082633999999999</v>
      </c>
      <c r="AS18">
        <v>45.075091999999998</v>
      </c>
      <c r="AT18">
        <v>42.459094999999998</v>
      </c>
      <c r="AU18">
        <v>358.77847300000002</v>
      </c>
      <c r="AV18">
        <v>71.892753999999996</v>
      </c>
      <c r="AW18">
        <v>358.53018200000002</v>
      </c>
      <c r="AX18">
        <v>52.124729000000002</v>
      </c>
      <c r="AY18">
        <v>72.504890000000003</v>
      </c>
      <c r="AZ18">
        <v>78.606971999999999</v>
      </c>
      <c r="BA18">
        <v>52.502758</v>
      </c>
      <c r="BB18">
        <v>49.151271999999999</v>
      </c>
      <c r="BC18">
        <v>14.352252999999999</v>
      </c>
      <c r="BD18">
        <v>82.599777000000003</v>
      </c>
      <c r="BE18">
        <v>46.365028000000002</v>
      </c>
      <c r="BF18">
        <v>46.336910000000003</v>
      </c>
      <c r="BG18">
        <v>37.765067999999999</v>
      </c>
      <c r="BH18">
        <v>49</v>
      </c>
      <c r="BI18">
        <v>48</v>
      </c>
      <c r="BJ18">
        <v>2.040816</v>
      </c>
      <c r="BK18">
        <v>42</v>
      </c>
      <c r="BL18">
        <v>2.1409999999999998E-2</v>
      </c>
      <c r="BM18">
        <v>1.9709999999999998E-2</v>
      </c>
      <c r="BN18">
        <v>-1</v>
      </c>
      <c r="BO18">
        <v>3</v>
      </c>
      <c r="BP18">
        <v>1</v>
      </c>
      <c r="BQ18">
        <v>0.689998</v>
      </c>
      <c r="BR18">
        <v>98.432700999999994</v>
      </c>
      <c r="BS18">
        <v>72.446433999999996</v>
      </c>
      <c r="BT18">
        <v>2.2910000000000001E-3</v>
      </c>
      <c r="BU18">
        <v>20.948965000000001</v>
      </c>
      <c r="BV18">
        <v>30.490084</v>
      </c>
      <c r="BW18">
        <v>8.5722249999999995</v>
      </c>
      <c r="BX18">
        <v>0.17960400000000001</v>
      </c>
      <c r="BY18">
        <v>0.23743300000000001</v>
      </c>
      <c r="BZ18">
        <v>0.98470400000000002</v>
      </c>
      <c r="CA18">
        <v>2020</v>
      </c>
      <c r="CB18">
        <v>1</v>
      </c>
      <c r="CC18">
        <v>15</v>
      </c>
      <c r="CD18">
        <v>18</v>
      </c>
      <c r="CE18">
        <v>4</v>
      </c>
      <c r="CF18">
        <v>39.610000999999997</v>
      </c>
      <c r="CG18">
        <v>2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0.65849999999999997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25">
      <c r="A19">
        <v>18</v>
      </c>
      <c r="B19" t="s">
        <v>134</v>
      </c>
      <c r="C19">
        <v>58863.796187</v>
      </c>
      <c r="D19">
        <v>294.81655899999998</v>
      </c>
      <c r="E19" s="2" t="s">
        <v>110</v>
      </c>
      <c r="F19" s="2" t="s">
        <v>111</v>
      </c>
      <c r="G19">
        <v>-2.39391</v>
      </c>
      <c r="H19">
        <v>180.486954</v>
      </c>
      <c r="I19">
        <v>62.361328</v>
      </c>
      <c r="J19">
        <v>182.68258700000001</v>
      </c>
      <c r="K19">
        <v>61.20805</v>
      </c>
      <c r="L19">
        <v>145.72463999999999</v>
      </c>
      <c r="M19">
        <v>54.393951000000001</v>
      </c>
      <c r="N19">
        <v>37.714066000000003</v>
      </c>
      <c r="O19">
        <v>37.714066000000003</v>
      </c>
      <c r="P19">
        <v>35.931300999999998</v>
      </c>
      <c r="Q19">
        <v>39.405875999999999</v>
      </c>
      <c r="R19">
        <v>3.5337510000000001</v>
      </c>
      <c r="S19">
        <v>0.75360799999999994</v>
      </c>
      <c r="T19">
        <v>0.78673999999999999</v>
      </c>
      <c r="U19">
        <v>6.6455159999999998</v>
      </c>
      <c r="V19">
        <v>242.031158</v>
      </c>
      <c r="W19">
        <v>294.81649800000002</v>
      </c>
      <c r="X19">
        <v>56.241034999999997</v>
      </c>
      <c r="Y19" t="s">
        <v>114</v>
      </c>
      <c r="Z19">
        <v>-1</v>
      </c>
      <c r="AA19">
        <v>-1</v>
      </c>
      <c r="AB19">
        <v>-2</v>
      </c>
      <c r="AC19">
        <v>14.170030000000001</v>
      </c>
      <c r="AD19">
        <v>1.02</v>
      </c>
      <c r="AE19">
        <v>14.055999999999999</v>
      </c>
      <c r="AF19">
        <v>0</v>
      </c>
      <c r="AG19">
        <v>352.256958</v>
      </c>
      <c r="AH19">
        <v>27.395641000000001</v>
      </c>
      <c r="AI19">
        <v>73.794692999999995</v>
      </c>
      <c r="AJ19">
        <v>-12.235746000000001</v>
      </c>
      <c r="AK19">
        <v>111.552834</v>
      </c>
      <c r="AL19">
        <v>43.355075999999997</v>
      </c>
      <c r="AM19">
        <v>70.440505999999999</v>
      </c>
      <c r="AN19">
        <v>42.784084</v>
      </c>
      <c r="AO19">
        <v>359.99743699999999</v>
      </c>
      <c r="AP19">
        <v>52.146507</v>
      </c>
      <c r="AQ19">
        <v>91.038887000000003</v>
      </c>
      <c r="AR19">
        <v>132.28419500000001</v>
      </c>
      <c r="AS19">
        <v>43.162182000000001</v>
      </c>
      <c r="AT19">
        <v>8.0928819999999995</v>
      </c>
      <c r="AU19">
        <v>101.04389999999999</v>
      </c>
      <c r="AV19">
        <v>31.857344000000001</v>
      </c>
      <c r="AW19">
        <v>359.82989500000002</v>
      </c>
      <c r="AX19">
        <v>51.865299</v>
      </c>
      <c r="AY19">
        <v>72.504242000000005</v>
      </c>
      <c r="AZ19">
        <v>107.495293</v>
      </c>
      <c r="BA19">
        <v>57.332211000000001</v>
      </c>
      <c r="BB19">
        <v>9.9763889999999993</v>
      </c>
      <c r="BC19">
        <v>38.468345999999997</v>
      </c>
      <c r="BD19">
        <v>20.225373999999999</v>
      </c>
      <c r="BE19">
        <v>28.802493999999999</v>
      </c>
      <c r="BF19">
        <v>28.264188999999998</v>
      </c>
      <c r="BG19">
        <v>26.776593999999999</v>
      </c>
      <c r="BH19">
        <v>52</v>
      </c>
      <c r="BI19">
        <v>52</v>
      </c>
      <c r="BJ19">
        <v>0</v>
      </c>
      <c r="BK19">
        <v>15</v>
      </c>
      <c r="BL19">
        <v>2.0670000000000001E-2</v>
      </c>
      <c r="BM19">
        <v>1.325E-2</v>
      </c>
      <c r="BN19">
        <v>-1</v>
      </c>
      <c r="BO19">
        <v>3</v>
      </c>
      <c r="BP19">
        <v>1</v>
      </c>
      <c r="BQ19">
        <v>1.5000020000000001</v>
      </c>
      <c r="BR19">
        <v>105.113297</v>
      </c>
      <c r="BS19">
        <v>11.876129000000001</v>
      </c>
      <c r="BT19">
        <v>6.1289999999999999E-3</v>
      </c>
      <c r="BU19">
        <v>8.4583309999999994</v>
      </c>
      <c r="BV19">
        <v>7.6175540000000002</v>
      </c>
      <c r="BW19">
        <v>1.5514870000000001</v>
      </c>
      <c r="BX19">
        <v>0.44250299999999998</v>
      </c>
      <c r="BY19">
        <v>2.5542419999999999</v>
      </c>
      <c r="BZ19">
        <v>0.91952500000000004</v>
      </c>
      <c r="CA19">
        <v>2020</v>
      </c>
      <c r="CB19">
        <v>1</v>
      </c>
      <c r="CC19">
        <v>15</v>
      </c>
      <c r="CD19">
        <v>19</v>
      </c>
      <c r="CE19">
        <v>6</v>
      </c>
      <c r="CF19">
        <v>30.550001000000002</v>
      </c>
      <c r="CG19">
        <v>2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0.28298499999999999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</row>
    <row r="20" spans="1:105" x14ac:dyDescent="0.25">
      <c r="A20">
        <v>19</v>
      </c>
      <c r="B20" t="s">
        <v>135</v>
      </c>
      <c r="C20">
        <v>58863.839950000001</v>
      </c>
      <c r="D20">
        <v>294.86111499999998</v>
      </c>
      <c r="E20" s="2" t="s">
        <v>107</v>
      </c>
      <c r="F20" s="2" t="s">
        <v>113</v>
      </c>
      <c r="G20">
        <v>-3.4974999999999999E-2</v>
      </c>
      <c r="H20">
        <v>79.170624000000004</v>
      </c>
      <c r="I20">
        <v>16.780889999999999</v>
      </c>
      <c r="J20">
        <v>81.053291000000002</v>
      </c>
      <c r="K20">
        <v>10.166904000000001</v>
      </c>
      <c r="L20">
        <v>80.961760999999996</v>
      </c>
      <c r="M20">
        <v>-12.98954</v>
      </c>
      <c r="N20">
        <v>15.670194</v>
      </c>
      <c r="O20">
        <v>15.670194</v>
      </c>
      <c r="P20">
        <v>10.811557000000001</v>
      </c>
      <c r="Q20">
        <v>37.243186999999999</v>
      </c>
      <c r="R20">
        <v>2.12839</v>
      </c>
      <c r="S20">
        <v>0.91041899999999998</v>
      </c>
      <c r="T20">
        <v>0.57225000000000004</v>
      </c>
      <c r="U20">
        <v>3.1063580000000002</v>
      </c>
      <c r="V20">
        <v>37.286437999999997</v>
      </c>
      <c r="W20">
        <v>114.86193799999999</v>
      </c>
      <c r="X20">
        <v>3.84598</v>
      </c>
      <c r="Y20" t="s">
        <v>114</v>
      </c>
      <c r="Z20">
        <v>-1</v>
      </c>
      <c r="AA20">
        <v>-1</v>
      </c>
      <c r="AB20">
        <v>0.4</v>
      </c>
      <c r="AC20">
        <v>5.8015819999999998</v>
      </c>
      <c r="AD20">
        <v>0.84</v>
      </c>
      <c r="AE20">
        <v>7.0129999999999999</v>
      </c>
      <c r="AF20">
        <v>0</v>
      </c>
      <c r="AG20">
        <v>159.23133899999999</v>
      </c>
      <c r="AH20">
        <v>-29.786110000000001</v>
      </c>
      <c r="AI20">
        <v>299.372162</v>
      </c>
      <c r="AJ20">
        <v>-22.800954999999998</v>
      </c>
      <c r="AK20">
        <v>152.19480899999999</v>
      </c>
      <c r="AL20">
        <v>60.026778999999998</v>
      </c>
      <c r="AM20">
        <v>39.246361</v>
      </c>
      <c r="AN20">
        <v>38.457245</v>
      </c>
      <c r="AO20">
        <v>357.65310699999998</v>
      </c>
      <c r="AP20">
        <v>51.354992000000003</v>
      </c>
      <c r="AQ20">
        <v>78.557083000000006</v>
      </c>
      <c r="AR20">
        <v>124.436607</v>
      </c>
      <c r="AS20">
        <v>67.060805999999999</v>
      </c>
      <c r="AT20">
        <v>7.7053089999999997</v>
      </c>
      <c r="AU20">
        <v>163.839325</v>
      </c>
      <c r="AV20">
        <v>60.133850000000002</v>
      </c>
      <c r="AW20">
        <v>357.57910199999998</v>
      </c>
      <c r="AX20">
        <v>51.413291999999998</v>
      </c>
      <c r="AY20">
        <v>68.426124999999999</v>
      </c>
      <c r="AZ20">
        <v>119.920525</v>
      </c>
      <c r="BA20">
        <v>72.862388999999993</v>
      </c>
      <c r="BB20">
        <v>7.9973470000000004</v>
      </c>
      <c r="BC20">
        <v>13.162962</v>
      </c>
      <c r="BD20">
        <v>141.301132</v>
      </c>
      <c r="BE20">
        <v>50.264415999999997</v>
      </c>
      <c r="BF20">
        <v>50.429226</v>
      </c>
      <c r="BG20">
        <v>43.65493</v>
      </c>
      <c r="BH20">
        <v>43</v>
      </c>
      <c r="BI20">
        <v>21</v>
      </c>
      <c r="BJ20">
        <v>51.162792000000003</v>
      </c>
      <c r="BK20">
        <v>37</v>
      </c>
      <c r="BL20">
        <v>5.289E-2</v>
      </c>
      <c r="BM20">
        <v>1.43E-2</v>
      </c>
      <c r="BN20">
        <v>-1</v>
      </c>
      <c r="BO20">
        <v>3</v>
      </c>
      <c r="BP20">
        <v>1</v>
      </c>
      <c r="BQ20">
        <v>0.56000499999999998</v>
      </c>
      <c r="BR20">
        <v>28.313253</v>
      </c>
      <c r="BS20">
        <v>8.3715360000000008</v>
      </c>
      <c r="BT20">
        <v>2.4250000000000001E-3</v>
      </c>
      <c r="BU20">
        <v>40.110531000000002</v>
      </c>
      <c r="BV20">
        <v>0.78365799999999997</v>
      </c>
      <c r="BW20">
        <v>6.8623919999999998</v>
      </c>
      <c r="BX20">
        <v>4.7505249999999997</v>
      </c>
      <c r="BY20">
        <v>34.145180000000003</v>
      </c>
      <c r="BZ20">
        <v>0.48185899999999998</v>
      </c>
      <c r="CA20">
        <v>2020</v>
      </c>
      <c r="CB20">
        <v>1</v>
      </c>
      <c r="CC20">
        <v>15</v>
      </c>
      <c r="CD20">
        <v>20</v>
      </c>
      <c r="CE20">
        <v>9</v>
      </c>
      <c r="CF20">
        <v>31.659998000000002</v>
      </c>
      <c r="CG20">
        <v>2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0.46983900000000001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</row>
    <row r="21" spans="1:105" x14ac:dyDescent="0.25">
      <c r="A21">
        <v>20</v>
      </c>
      <c r="B21" t="s">
        <v>136</v>
      </c>
      <c r="C21">
        <v>58863.926905</v>
      </c>
      <c r="D21">
        <v>294.94967700000001</v>
      </c>
      <c r="E21" s="2" t="s">
        <v>122</v>
      </c>
      <c r="F21" s="2" t="s">
        <v>113</v>
      </c>
      <c r="G21">
        <v>-2.5134439999999998</v>
      </c>
      <c r="H21">
        <v>197.216263</v>
      </c>
      <c r="I21">
        <v>74.036727999999997</v>
      </c>
      <c r="J21">
        <v>201.821991</v>
      </c>
      <c r="K21">
        <v>73.555374</v>
      </c>
      <c r="L21">
        <v>132.688095</v>
      </c>
      <c r="M21">
        <v>67.194030999999995</v>
      </c>
      <c r="N21">
        <v>33.589230000000001</v>
      </c>
      <c r="O21">
        <v>33.589230000000001</v>
      </c>
      <c r="P21">
        <v>31.598199999999999</v>
      </c>
      <c r="Q21">
        <v>41.064197999999998</v>
      </c>
      <c r="R21">
        <v>7.5446749999999998</v>
      </c>
      <c r="S21">
        <v>0.90046199999999998</v>
      </c>
      <c r="T21">
        <v>0.88064900000000002</v>
      </c>
      <c r="U21">
        <v>20.731729999999999</v>
      </c>
      <c r="V21">
        <v>214.96417199999999</v>
      </c>
      <c r="W21">
        <v>294.94961499999999</v>
      </c>
      <c r="X21">
        <v>47.661034000000001</v>
      </c>
      <c r="Y21" t="s">
        <v>114</v>
      </c>
      <c r="Z21">
        <v>-1</v>
      </c>
      <c r="AA21">
        <v>-1</v>
      </c>
      <c r="AB21">
        <v>-1</v>
      </c>
      <c r="AC21">
        <v>6.5819029999999996</v>
      </c>
      <c r="AD21">
        <v>0.7</v>
      </c>
      <c r="AE21">
        <v>9.2569999999999997</v>
      </c>
      <c r="AF21">
        <v>0</v>
      </c>
      <c r="AG21">
        <v>303.63378899999998</v>
      </c>
      <c r="AH21">
        <v>4.6222070000000004</v>
      </c>
      <c r="AI21">
        <v>70.014296999999999</v>
      </c>
      <c r="AJ21">
        <v>-12.506027</v>
      </c>
      <c r="AK21">
        <v>34.217849999999999</v>
      </c>
      <c r="AL21">
        <v>7.1860559999999998</v>
      </c>
      <c r="AM21">
        <v>243.13124099999999</v>
      </c>
      <c r="AN21">
        <v>27.622578000000001</v>
      </c>
      <c r="AO21">
        <v>356.52596999999997</v>
      </c>
      <c r="AP21">
        <v>52.030659</v>
      </c>
      <c r="AQ21">
        <v>93.790833000000006</v>
      </c>
      <c r="AR21">
        <v>198.44233700000001</v>
      </c>
      <c r="AS21">
        <v>98.086494000000002</v>
      </c>
      <c r="AT21">
        <v>57.731955999999997</v>
      </c>
      <c r="AU21">
        <v>33.684382999999997</v>
      </c>
      <c r="AV21">
        <v>0.62568299999999999</v>
      </c>
      <c r="AW21">
        <v>356.44003300000003</v>
      </c>
      <c r="AX21">
        <v>51.889580000000002</v>
      </c>
      <c r="AY21">
        <v>77.493934999999993</v>
      </c>
      <c r="AZ21">
        <v>203.08833300000001</v>
      </c>
      <c r="BA21">
        <v>104.668404</v>
      </c>
      <c r="BB21">
        <v>55.711978999999999</v>
      </c>
      <c r="BC21">
        <v>23.512460999999998</v>
      </c>
      <c r="BD21">
        <v>20.802904000000002</v>
      </c>
      <c r="BE21">
        <v>43.858680999999997</v>
      </c>
      <c r="BF21">
        <v>45.028647999999997</v>
      </c>
      <c r="BG21">
        <v>43.724044999999997</v>
      </c>
      <c r="BH21">
        <v>36</v>
      </c>
      <c r="BI21">
        <v>36</v>
      </c>
      <c r="BJ21">
        <v>0</v>
      </c>
      <c r="BK21">
        <v>43</v>
      </c>
      <c r="BL21">
        <v>2.7109999999999999E-2</v>
      </c>
      <c r="BM21">
        <v>1.039E-2</v>
      </c>
      <c r="BN21">
        <v>-1</v>
      </c>
      <c r="BO21">
        <v>3</v>
      </c>
      <c r="BP21">
        <v>1</v>
      </c>
      <c r="BQ21">
        <v>3.9992E-2</v>
      </c>
      <c r="BR21">
        <v>239.79870600000001</v>
      </c>
      <c r="BS21">
        <v>58.655121000000001</v>
      </c>
      <c r="BT21">
        <v>1.8699999999999999E-4</v>
      </c>
      <c r="BU21">
        <v>72.832520000000002</v>
      </c>
      <c r="BV21">
        <v>1.108994</v>
      </c>
      <c r="BW21">
        <v>1.372015</v>
      </c>
      <c r="BX21">
        <v>0.53703199999999995</v>
      </c>
      <c r="BY21">
        <v>0.64998999999999996</v>
      </c>
      <c r="BZ21">
        <v>0.97641500000000003</v>
      </c>
      <c r="CA21">
        <v>2020</v>
      </c>
      <c r="CB21">
        <v>1</v>
      </c>
      <c r="CC21">
        <v>15</v>
      </c>
      <c r="CD21">
        <v>22</v>
      </c>
      <c r="CE21">
        <v>14</v>
      </c>
      <c r="CF21">
        <v>44.560004999999997</v>
      </c>
      <c r="CG21">
        <v>2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0.132544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</row>
    <row r="22" spans="1:105" x14ac:dyDescent="0.25">
      <c r="A22">
        <v>21</v>
      </c>
      <c r="B22" t="s">
        <v>137</v>
      </c>
      <c r="C22">
        <v>58863.972695999997</v>
      </c>
      <c r="D22">
        <v>294.996307</v>
      </c>
      <c r="E22" s="2" t="s">
        <v>113</v>
      </c>
      <c r="F22" s="2" t="s">
        <v>107</v>
      </c>
      <c r="G22">
        <v>-1.542E-2</v>
      </c>
      <c r="H22">
        <v>71.436522999999994</v>
      </c>
      <c r="I22">
        <v>23.497247999999999</v>
      </c>
      <c r="J22">
        <v>62.340888999999997</v>
      </c>
      <c r="K22">
        <v>11.049215999999999</v>
      </c>
      <c r="L22">
        <v>62.462592999999998</v>
      </c>
      <c r="M22">
        <v>-9.7827579999999994</v>
      </c>
      <c r="N22">
        <v>12.429209999999999</v>
      </c>
      <c r="O22">
        <v>12.429209999999999</v>
      </c>
      <c r="P22">
        <v>5.7447949999999999</v>
      </c>
      <c r="Q22">
        <v>34.938301000000003</v>
      </c>
      <c r="R22">
        <v>1.5212399999999999</v>
      </c>
      <c r="S22">
        <v>0.96676600000000001</v>
      </c>
      <c r="T22">
        <v>0.36448799999999998</v>
      </c>
      <c r="U22">
        <v>1.87703</v>
      </c>
      <c r="V22">
        <v>20.6189</v>
      </c>
      <c r="W22">
        <v>114.998283</v>
      </c>
      <c r="X22">
        <v>1.608223</v>
      </c>
      <c r="Y22" t="s">
        <v>114</v>
      </c>
      <c r="Z22">
        <v>-1</v>
      </c>
      <c r="AA22">
        <v>-1</v>
      </c>
      <c r="AB22">
        <v>-0.4</v>
      </c>
      <c r="AC22">
        <v>1.2974000000000001</v>
      </c>
      <c r="AD22">
        <v>0.18</v>
      </c>
      <c r="AE22">
        <v>6.97</v>
      </c>
      <c r="AF22">
        <v>0</v>
      </c>
      <c r="AG22">
        <v>165.982361</v>
      </c>
      <c r="AH22">
        <v>10.331654</v>
      </c>
      <c r="AI22">
        <v>222.12011699999999</v>
      </c>
      <c r="AJ22">
        <v>29.380282999999999</v>
      </c>
      <c r="AK22">
        <v>26.662604999999999</v>
      </c>
      <c r="AL22">
        <v>76.483170000000001</v>
      </c>
      <c r="AM22">
        <v>338.43640099999999</v>
      </c>
      <c r="AN22">
        <v>52.428306999999997</v>
      </c>
      <c r="AO22">
        <v>356.77960200000001</v>
      </c>
      <c r="AP22">
        <v>51.305202000000001</v>
      </c>
      <c r="AQ22">
        <v>67.068732999999995</v>
      </c>
      <c r="AR22">
        <v>84.362342999999996</v>
      </c>
      <c r="AS22">
        <v>57.328170999999998</v>
      </c>
      <c r="AT22">
        <v>6.4156050000000002</v>
      </c>
      <c r="AU22">
        <v>22.138141999999998</v>
      </c>
      <c r="AV22">
        <v>77.276871</v>
      </c>
      <c r="AW22">
        <v>356.79434199999997</v>
      </c>
      <c r="AX22">
        <v>51.312477000000001</v>
      </c>
      <c r="AY22">
        <v>65.266211999999996</v>
      </c>
      <c r="AZ22">
        <v>83.175926000000004</v>
      </c>
      <c r="BA22">
        <v>58.625571999999998</v>
      </c>
      <c r="BB22">
        <v>6.5075089999999998</v>
      </c>
      <c r="BC22">
        <v>2.2372580000000002</v>
      </c>
      <c r="BD22">
        <v>231.20417800000001</v>
      </c>
      <c r="BE22">
        <v>53.858013</v>
      </c>
      <c r="BF22">
        <v>53.990299</v>
      </c>
      <c r="BG22">
        <v>38.847607000000004</v>
      </c>
      <c r="BH22">
        <v>10</v>
      </c>
      <c r="BI22">
        <v>10</v>
      </c>
      <c r="BJ22">
        <v>0</v>
      </c>
      <c r="BK22">
        <v>15</v>
      </c>
      <c r="BL22">
        <v>4.086E-2</v>
      </c>
      <c r="BM22">
        <v>9.6600000000000002E-3</v>
      </c>
      <c r="BN22">
        <v>-1</v>
      </c>
      <c r="BO22">
        <v>3</v>
      </c>
      <c r="BP22">
        <v>1</v>
      </c>
      <c r="BQ22">
        <v>0.109997</v>
      </c>
      <c r="BR22">
        <v>28.312946</v>
      </c>
      <c r="BS22">
        <v>7.6281080000000001</v>
      </c>
      <c r="BT22">
        <v>4.9399999999999997E-4</v>
      </c>
      <c r="BU22">
        <v>89.252853000000002</v>
      </c>
      <c r="BV22">
        <v>3.3256869999999998</v>
      </c>
      <c r="BW22">
        <v>15.1655</v>
      </c>
      <c r="BX22">
        <v>14.949033999999999</v>
      </c>
      <c r="BY22">
        <v>131.90313699999999</v>
      </c>
      <c r="BZ22">
        <v>8.5401000000000005E-2</v>
      </c>
      <c r="CA22">
        <v>2020</v>
      </c>
      <c r="CB22">
        <v>1</v>
      </c>
      <c r="CC22">
        <v>15</v>
      </c>
      <c r="CD22">
        <v>23</v>
      </c>
      <c r="CE22">
        <v>20</v>
      </c>
      <c r="CF22">
        <v>40.950001</v>
      </c>
      <c r="CG22">
        <v>2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0.65735900000000003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25">
      <c r="A23">
        <v>22</v>
      </c>
      <c r="B23" t="s">
        <v>138</v>
      </c>
      <c r="C23">
        <v>58864.244615000003</v>
      </c>
      <c r="D23">
        <v>295.27325400000001</v>
      </c>
      <c r="E23" s="2" t="s">
        <v>125</v>
      </c>
      <c r="F23" s="2" t="s">
        <v>106</v>
      </c>
      <c r="G23">
        <v>-1.269191</v>
      </c>
      <c r="H23">
        <v>186.471451</v>
      </c>
      <c r="I23">
        <v>8.1335949999999997</v>
      </c>
      <c r="J23">
        <v>185.972092</v>
      </c>
      <c r="K23">
        <v>7.4284020000000002</v>
      </c>
      <c r="L23">
        <v>182.5103</v>
      </c>
      <c r="M23">
        <v>9.1869099999999992</v>
      </c>
      <c r="N23">
        <v>46.635936999999998</v>
      </c>
      <c r="O23">
        <v>46.635936999999998</v>
      </c>
      <c r="P23">
        <v>45.354855000000001</v>
      </c>
      <c r="Q23">
        <v>21.674150000000001</v>
      </c>
      <c r="R23">
        <v>0.66499200000000003</v>
      </c>
      <c r="S23">
        <v>0.102657</v>
      </c>
      <c r="T23">
        <v>0.84562599999999999</v>
      </c>
      <c r="U23">
        <v>0.54249899999999995</v>
      </c>
      <c r="V23">
        <v>342.70138500000002</v>
      </c>
      <c r="W23">
        <v>295.27331500000003</v>
      </c>
      <c r="X23">
        <v>146.675659</v>
      </c>
      <c r="Y23" t="s">
        <v>114</v>
      </c>
      <c r="Z23">
        <v>-1</v>
      </c>
      <c r="AA23">
        <v>-1</v>
      </c>
      <c r="AB23">
        <v>-1</v>
      </c>
      <c r="AC23">
        <v>3.104803</v>
      </c>
      <c r="AD23">
        <v>0.16</v>
      </c>
      <c r="AE23">
        <v>19.712</v>
      </c>
      <c r="AF23">
        <v>0</v>
      </c>
      <c r="AG23">
        <v>103.506485</v>
      </c>
      <c r="AH23">
        <v>-40.595253</v>
      </c>
      <c r="AI23">
        <v>251.47264100000001</v>
      </c>
      <c r="AJ23">
        <v>12.246406</v>
      </c>
      <c r="AK23">
        <v>139.78660600000001</v>
      </c>
      <c r="AL23">
        <v>43.249512000000003</v>
      </c>
      <c r="AM23">
        <v>283.23361199999999</v>
      </c>
      <c r="AN23">
        <v>48.681655999999997</v>
      </c>
      <c r="AO23">
        <v>-2.3837030000000001</v>
      </c>
      <c r="AP23">
        <v>52.022823000000002</v>
      </c>
      <c r="AQ23">
        <v>86.943184000000002</v>
      </c>
      <c r="AR23">
        <v>115.323463</v>
      </c>
      <c r="AS23">
        <v>53.730217000000003</v>
      </c>
      <c r="AT23">
        <v>4.4937649999999998</v>
      </c>
      <c r="AU23">
        <v>135.89132699999999</v>
      </c>
      <c r="AV23">
        <v>44.579394999999998</v>
      </c>
      <c r="AW23">
        <v>-2.3573369999999998</v>
      </c>
      <c r="AX23">
        <v>52.066955999999998</v>
      </c>
      <c r="AY23">
        <v>81.709464999999994</v>
      </c>
      <c r="AZ23">
        <v>111.072197</v>
      </c>
      <c r="BA23">
        <v>56.835017999999998</v>
      </c>
      <c r="BB23">
        <v>4.666137</v>
      </c>
      <c r="BC23">
        <v>7.4617500000000003</v>
      </c>
      <c r="BD23">
        <v>199.768677</v>
      </c>
      <c r="BE23">
        <v>44.506031</v>
      </c>
      <c r="BF23">
        <v>44.421719000000003</v>
      </c>
      <c r="BG23">
        <v>43.622138999999997</v>
      </c>
      <c r="BH23">
        <v>9</v>
      </c>
      <c r="BI23">
        <v>9</v>
      </c>
      <c r="BJ23">
        <v>0</v>
      </c>
      <c r="BK23">
        <v>8</v>
      </c>
      <c r="BL23">
        <v>2.1700000000000001E-2</v>
      </c>
      <c r="BM23">
        <v>2.7689999999999999E-2</v>
      </c>
      <c r="BN23">
        <v>-1</v>
      </c>
      <c r="BO23">
        <v>3</v>
      </c>
      <c r="BP23">
        <v>1</v>
      </c>
      <c r="BQ23">
        <v>0.26999400000000001</v>
      </c>
      <c r="BR23">
        <v>105.113434</v>
      </c>
      <c r="BS23">
        <v>5.5768180000000003</v>
      </c>
      <c r="BT23">
        <v>1.1950000000000001E-3</v>
      </c>
      <c r="BU23">
        <v>1.482199</v>
      </c>
      <c r="BV23">
        <v>10.778287000000001</v>
      </c>
      <c r="BW23">
        <v>0.86144200000000004</v>
      </c>
      <c r="BX23">
        <v>5.8261810000000001</v>
      </c>
      <c r="BY23">
        <v>71.619170999999994</v>
      </c>
      <c r="BZ23">
        <v>0.28799999999999998</v>
      </c>
      <c r="CA23">
        <v>2020</v>
      </c>
      <c r="CB23">
        <v>1</v>
      </c>
      <c r="CC23">
        <v>16</v>
      </c>
      <c r="CD23">
        <v>5</v>
      </c>
      <c r="CE23">
        <v>52</v>
      </c>
      <c r="CF23">
        <v>14.730003</v>
      </c>
      <c r="CG23">
        <v>2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1.5037780000000001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</row>
    <row r="24" spans="1:105" x14ac:dyDescent="0.25">
      <c r="A24">
        <v>23</v>
      </c>
      <c r="B24" t="s">
        <v>139</v>
      </c>
      <c r="C24">
        <v>58865.270137</v>
      </c>
      <c r="D24">
        <v>296.317657</v>
      </c>
      <c r="E24" s="2" t="s">
        <v>113</v>
      </c>
      <c r="F24" s="2" t="s">
        <v>125</v>
      </c>
      <c r="G24">
        <v>-1.723355</v>
      </c>
      <c r="H24">
        <v>200.03839099999999</v>
      </c>
      <c r="I24">
        <v>35.008926000000002</v>
      </c>
      <c r="J24">
        <v>199.61828600000001</v>
      </c>
      <c r="K24">
        <v>34.813060999999998</v>
      </c>
      <c r="L24">
        <v>181.914413</v>
      </c>
      <c r="M24">
        <v>39.30444</v>
      </c>
      <c r="N24">
        <v>59.129542999999998</v>
      </c>
      <c r="O24">
        <v>59.129542999999998</v>
      </c>
      <c r="P24">
        <v>58.108077999999999</v>
      </c>
      <c r="Q24">
        <v>42.533737000000002</v>
      </c>
      <c r="R24">
        <v>-163.11520400000001</v>
      </c>
      <c r="S24">
        <v>0.79905099999999996</v>
      </c>
      <c r="T24">
        <v>1.004899</v>
      </c>
      <c r="U24">
        <v>0</v>
      </c>
      <c r="V24">
        <v>231.27963299999999</v>
      </c>
      <c r="W24">
        <v>296.317657</v>
      </c>
      <c r="X24">
        <v>106.170586</v>
      </c>
      <c r="Y24" t="s">
        <v>114</v>
      </c>
      <c r="Z24">
        <v>-1</v>
      </c>
      <c r="AA24">
        <v>-1</v>
      </c>
      <c r="AB24">
        <v>0</v>
      </c>
      <c r="AC24">
        <v>5.4884979999999999</v>
      </c>
      <c r="AD24">
        <v>0.36</v>
      </c>
      <c r="AE24">
        <v>14.954000000000001</v>
      </c>
      <c r="AF24">
        <v>0</v>
      </c>
      <c r="AG24">
        <v>104.845924</v>
      </c>
      <c r="AH24">
        <v>7.3622160000000001</v>
      </c>
      <c r="AI24">
        <v>244.12535099999999</v>
      </c>
      <c r="AJ24">
        <v>17.069835999999999</v>
      </c>
      <c r="AK24">
        <v>0.578565</v>
      </c>
      <c r="AL24">
        <v>62.332951000000001</v>
      </c>
      <c r="AM24">
        <v>14.702278</v>
      </c>
      <c r="AN24">
        <v>25.724409000000001</v>
      </c>
      <c r="AO24">
        <v>-2.2026889999999999</v>
      </c>
      <c r="AP24">
        <v>52.591510999999997</v>
      </c>
      <c r="AQ24">
        <v>99.434982000000005</v>
      </c>
      <c r="AR24">
        <v>222.22880599999999</v>
      </c>
      <c r="AS24">
        <v>81.401176000000007</v>
      </c>
      <c r="AT24">
        <v>39.672493000000003</v>
      </c>
      <c r="AU24">
        <v>3.3583430000000001</v>
      </c>
      <c r="AV24">
        <v>57.025570000000002</v>
      </c>
      <c r="AW24">
        <v>-2.1534179999999998</v>
      </c>
      <c r="AX24">
        <v>52.645668000000001</v>
      </c>
      <c r="AY24">
        <v>79.346748000000005</v>
      </c>
      <c r="AZ24">
        <v>220.054993</v>
      </c>
      <c r="BA24">
        <v>86.889671000000007</v>
      </c>
      <c r="BB24">
        <v>40.143543000000001</v>
      </c>
      <c r="BC24">
        <v>21.286636000000001</v>
      </c>
      <c r="BD24">
        <v>208.05235300000001</v>
      </c>
      <c r="BE24">
        <v>70.679007999999996</v>
      </c>
      <c r="BF24">
        <v>72.407043000000002</v>
      </c>
      <c r="BG24">
        <v>72.096442999999994</v>
      </c>
      <c r="BH24">
        <v>19</v>
      </c>
      <c r="BI24">
        <v>14</v>
      </c>
      <c r="BJ24">
        <v>26.31579</v>
      </c>
      <c r="BK24">
        <v>0</v>
      </c>
      <c r="BL24">
        <v>0.1</v>
      </c>
      <c r="BM24">
        <v>5.13E-3</v>
      </c>
      <c r="BN24">
        <v>-1</v>
      </c>
      <c r="BO24">
        <v>3</v>
      </c>
      <c r="BP24">
        <v>1</v>
      </c>
      <c r="BQ24">
        <v>3.0003999999999999E-2</v>
      </c>
      <c r="BR24">
        <v>157.79539500000001</v>
      </c>
      <c r="BS24">
        <v>40.214869999999998</v>
      </c>
      <c r="BT24">
        <v>1.17E-4</v>
      </c>
      <c r="BU24">
        <v>63.063865999999997</v>
      </c>
      <c r="BV24">
        <v>0.74859299999999995</v>
      </c>
      <c r="BW24">
        <v>0.39628999999999998</v>
      </c>
      <c r="BX24">
        <v>2.4808180000000002</v>
      </c>
      <c r="BY24">
        <v>3.8479909999999999</v>
      </c>
      <c r="BZ24">
        <v>0.81407300000000005</v>
      </c>
      <c r="CA24">
        <v>2020</v>
      </c>
      <c r="CB24">
        <v>1</v>
      </c>
      <c r="CC24">
        <v>17</v>
      </c>
      <c r="CD24">
        <v>6</v>
      </c>
      <c r="CE24">
        <v>28</v>
      </c>
      <c r="CF24">
        <v>59.84</v>
      </c>
      <c r="CG24">
        <v>2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-6.1310000000000002E-3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</row>
    <row r="25" spans="1:105" x14ac:dyDescent="0.25">
      <c r="A25">
        <v>24</v>
      </c>
      <c r="B25" t="s">
        <v>140</v>
      </c>
      <c r="C25">
        <v>58865.870953999998</v>
      </c>
      <c r="D25">
        <v>296.92950400000001</v>
      </c>
      <c r="E25" s="3" t="s">
        <v>106</v>
      </c>
      <c r="F25" s="3" t="s">
        <v>113</v>
      </c>
      <c r="G25">
        <v>-1.0341549999999999</v>
      </c>
      <c r="H25">
        <v>119.26366400000001</v>
      </c>
      <c r="I25">
        <v>32.644623000000003</v>
      </c>
      <c r="J25">
        <v>120.821861</v>
      </c>
      <c r="K25">
        <v>31.262298999999999</v>
      </c>
      <c r="L25">
        <v>116.461563</v>
      </c>
      <c r="M25">
        <v>10.613125</v>
      </c>
      <c r="N25">
        <v>24.92963</v>
      </c>
      <c r="O25">
        <v>24.92963</v>
      </c>
      <c r="P25">
        <v>22.071928</v>
      </c>
      <c r="Q25">
        <v>37.532322000000001</v>
      </c>
      <c r="R25">
        <v>2.2463340000000001</v>
      </c>
      <c r="S25">
        <v>0.59304999999999997</v>
      </c>
      <c r="T25">
        <v>0.73599199999999998</v>
      </c>
      <c r="U25">
        <v>3.3681100000000002</v>
      </c>
      <c r="V25">
        <v>266.37326000000002</v>
      </c>
      <c r="W25">
        <v>296.92923000000002</v>
      </c>
      <c r="X25">
        <v>7.6029679999999997</v>
      </c>
      <c r="Y25" t="s">
        <v>114</v>
      </c>
      <c r="Z25">
        <v>-1</v>
      </c>
      <c r="AA25">
        <v>-1</v>
      </c>
      <c r="AB25">
        <v>-0.5</v>
      </c>
      <c r="AC25">
        <v>4.6720629999999996</v>
      </c>
      <c r="AD25">
        <v>0.42</v>
      </c>
      <c r="AE25">
        <v>11.236000000000001</v>
      </c>
      <c r="AF25">
        <v>0</v>
      </c>
      <c r="AG25">
        <v>37.882694000000001</v>
      </c>
      <c r="AH25">
        <v>-13.166645000000001</v>
      </c>
      <c r="AI25">
        <v>349.29492199999999</v>
      </c>
      <c r="AJ25">
        <v>-38.056446000000001</v>
      </c>
      <c r="AK25">
        <v>332.92193600000002</v>
      </c>
      <c r="AL25">
        <v>61.069580000000002</v>
      </c>
      <c r="AM25">
        <v>321.01733400000001</v>
      </c>
      <c r="AN25">
        <v>40.351353000000003</v>
      </c>
      <c r="AO25">
        <v>358.10082999999997</v>
      </c>
      <c r="AP25">
        <v>51.613331000000002</v>
      </c>
      <c r="AQ25">
        <v>83.805321000000006</v>
      </c>
      <c r="AR25">
        <v>128.37335200000001</v>
      </c>
      <c r="AS25">
        <v>82.353233000000003</v>
      </c>
      <c r="AT25">
        <v>52.802222999999998</v>
      </c>
      <c r="AU25">
        <v>328.89666699999998</v>
      </c>
      <c r="AV25">
        <v>56.881129999999999</v>
      </c>
      <c r="AW25">
        <v>358.003265</v>
      </c>
      <c r="AX25">
        <v>51.620646999999998</v>
      </c>
      <c r="AY25">
        <v>75.926674000000006</v>
      </c>
      <c r="AZ25">
        <v>127.403412</v>
      </c>
      <c r="BA25">
        <v>87.025290999999996</v>
      </c>
      <c r="BB25">
        <v>53.380797999999999</v>
      </c>
      <c r="BC25">
        <v>10.470445</v>
      </c>
      <c r="BD25">
        <v>96.901877999999996</v>
      </c>
      <c r="BE25">
        <v>48.600323000000003</v>
      </c>
      <c r="BF25">
        <v>49.227553999999998</v>
      </c>
      <c r="BG25">
        <v>47.319133999999998</v>
      </c>
      <c r="BH25">
        <v>22</v>
      </c>
      <c r="BI25">
        <v>22</v>
      </c>
      <c r="BJ25">
        <v>0</v>
      </c>
      <c r="BK25">
        <v>124</v>
      </c>
      <c r="BL25">
        <v>2.827E-2</v>
      </c>
      <c r="BM25">
        <v>1.273E-2</v>
      </c>
      <c r="BN25">
        <v>-1</v>
      </c>
      <c r="BO25">
        <v>3</v>
      </c>
      <c r="BP25">
        <v>1</v>
      </c>
      <c r="BQ25">
        <v>0.249999</v>
      </c>
      <c r="BR25">
        <v>135.362549</v>
      </c>
      <c r="BS25">
        <v>53.484946999999998</v>
      </c>
      <c r="BT25">
        <v>1.0579999999999999E-3</v>
      </c>
      <c r="BU25">
        <v>67.592690000000005</v>
      </c>
      <c r="BV25">
        <v>0.83534699999999995</v>
      </c>
      <c r="BW25">
        <v>1.9127320000000001</v>
      </c>
      <c r="BX25">
        <v>0.71809299999999998</v>
      </c>
      <c r="BY25">
        <v>0.89468899999999996</v>
      </c>
      <c r="BZ25">
        <v>0.96910499999999999</v>
      </c>
      <c r="CA25">
        <v>2020</v>
      </c>
      <c r="CB25">
        <v>1</v>
      </c>
      <c r="CC25">
        <v>17</v>
      </c>
      <c r="CD25">
        <v>20</v>
      </c>
      <c r="CE25">
        <v>54</v>
      </c>
      <c r="CF25">
        <v>10.460003</v>
      </c>
      <c r="CG25">
        <v>2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0.44517000000000001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</row>
    <row r="26" spans="1:105" x14ac:dyDescent="0.25">
      <c r="A26">
        <v>25</v>
      </c>
      <c r="B26" t="s">
        <v>141</v>
      </c>
      <c r="C26">
        <v>58866.025041000001</v>
      </c>
      <c r="D26">
        <v>297.08642600000002</v>
      </c>
      <c r="E26" s="2" t="s">
        <v>125</v>
      </c>
      <c r="F26" s="2" t="s">
        <v>106</v>
      </c>
      <c r="G26">
        <v>-0.71799299999999999</v>
      </c>
      <c r="H26">
        <v>192.910721</v>
      </c>
      <c r="I26">
        <v>36.938599000000004</v>
      </c>
      <c r="J26">
        <v>193.34840399999999</v>
      </c>
      <c r="K26">
        <v>36.705081999999997</v>
      </c>
      <c r="L26">
        <v>175.02526900000001</v>
      </c>
      <c r="M26">
        <v>38.462722999999997</v>
      </c>
      <c r="N26">
        <v>52.024566999999998</v>
      </c>
      <c r="O26">
        <v>52.024566999999998</v>
      </c>
      <c r="P26">
        <v>50.591197999999999</v>
      </c>
      <c r="Q26">
        <v>37.916313000000002</v>
      </c>
      <c r="R26">
        <v>2.4243160000000001</v>
      </c>
      <c r="S26">
        <v>0.62714599999999998</v>
      </c>
      <c r="T26">
        <v>0.74131000000000002</v>
      </c>
      <c r="U26">
        <v>3.77623</v>
      </c>
      <c r="V26">
        <v>261.458618</v>
      </c>
      <c r="W26">
        <v>297.08642600000002</v>
      </c>
      <c r="X26">
        <v>95.982940999999997</v>
      </c>
      <c r="Y26" t="s">
        <v>114</v>
      </c>
      <c r="Z26">
        <v>-1</v>
      </c>
      <c r="AA26">
        <v>-1</v>
      </c>
      <c r="AB26">
        <v>-0.4</v>
      </c>
      <c r="AC26">
        <v>4.1637810000000002</v>
      </c>
      <c r="AD26">
        <v>0.18</v>
      </c>
      <c r="AE26">
        <v>23.058001000000001</v>
      </c>
      <c r="AF26">
        <v>0</v>
      </c>
      <c r="AG26">
        <v>112.792244</v>
      </c>
      <c r="AH26">
        <v>-12.857193000000001</v>
      </c>
      <c r="AI26">
        <v>11.637687</v>
      </c>
      <c r="AJ26">
        <v>-36.907299000000002</v>
      </c>
      <c r="AK26">
        <v>74.686920000000001</v>
      </c>
      <c r="AL26">
        <v>73.824493000000004</v>
      </c>
      <c r="AM26">
        <v>334.922821</v>
      </c>
      <c r="AN26">
        <v>60.176586</v>
      </c>
      <c r="AO26">
        <v>358.32067899999998</v>
      </c>
      <c r="AP26">
        <v>52.340007999999997</v>
      </c>
      <c r="AQ26">
        <v>102.40677599999999</v>
      </c>
      <c r="AR26">
        <v>117.830017</v>
      </c>
      <c r="AS26">
        <v>61.844436999999999</v>
      </c>
      <c r="AT26">
        <v>24.564003</v>
      </c>
      <c r="AU26">
        <v>64.407829000000007</v>
      </c>
      <c r="AV26">
        <v>71.033462999999998</v>
      </c>
      <c r="AW26">
        <v>358.21991000000003</v>
      </c>
      <c r="AX26">
        <v>52.328429999999997</v>
      </c>
      <c r="AY26">
        <v>96.292381000000006</v>
      </c>
      <c r="AZ26">
        <v>113.71138000000001</v>
      </c>
      <c r="BA26">
        <v>66.008217000000002</v>
      </c>
      <c r="BB26">
        <v>25.516214000000002</v>
      </c>
      <c r="BC26">
        <v>9.3644219999999994</v>
      </c>
      <c r="BD26">
        <v>79.512778999999995</v>
      </c>
      <c r="BE26">
        <v>40.580413999999998</v>
      </c>
      <c r="BF26">
        <v>40.712631000000002</v>
      </c>
      <c r="BG26">
        <v>40.294853000000003</v>
      </c>
      <c r="BH26">
        <v>10</v>
      </c>
      <c r="BI26">
        <v>10</v>
      </c>
      <c r="BJ26">
        <v>0</v>
      </c>
      <c r="BK26">
        <v>38</v>
      </c>
      <c r="BL26">
        <v>1.925E-2</v>
      </c>
      <c r="BM26">
        <v>1.0749999999999999E-2</v>
      </c>
      <c r="BN26">
        <v>-1</v>
      </c>
      <c r="BO26">
        <v>3</v>
      </c>
      <c r="BP26">
        <v>1</v>
      </c>
      <c r="BQ26">
        <v>6.9996000000000003E-2</v>
      </c>
      <c r="BR26">
        <v>105.113434</v>
      </c>
      <c r="BS26">
        <v>28.131874</v>
      </c>
      <c r="BT26">
        <v>0.417655</v>
      </c>
      <c r="BU26">
        <v>57.640217</v>
      </c>
      <c r="BV26">
        <v>1.566684</v>
      </c>
      <c r="BW26">
        <v>0.42105399999999998</v>
      </c>
      <c r="BX26">
        <v>0.76152399999999998</v>
      </c>
      <c r="BY26">
        <v>1.767835</v>
      </c>
      <c r="BZ26">
        <v>0.94301900000000005</v>
      </c>
      <c r="CA26">
        <v>2020</v>
      </c>
      <c r="CB26">
        <v>1</v>
      </c>
      <c r="CC26">
        <v>18</v>
      </c>
      <c r="CD26">
        <v>0</v>
      </c>
      <c r="CE26">
        <v>36</v>
      </c>
      <c r="CF26">
        <v>3.5600010000000002</v>
      </c>
      <c r="CG26">
        <v>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0.41248800000000002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</row>
    <row r="27" spans="1:105" x14ac:dyDescent="0.25">
      <c r="A27">
        <v>26</v>
      </c>
      <c r="B27" t="s">
        <v>142</v>
      </c>
      <c r="C27">
        <v>58866.026142000002</v>
      </c>
      <c r="D27">
        <v>297.08755500000001</v>
      </c>
      <c r="E27" s="3" t="s">
        <v>106</v>
      </c>
      <c r="F27" s="3" t="s">
        <v>143</v>
      </c>
      <c r="G27">
        <v>0.32718199999999997</v>
      </c>
      <c r="H27">
        <v>193.88124099999999</v>
      </c>
      <c r="I27">
        <v>12.687036000000001</v>
      </c>
      <c r="J27">
        <v>194.19296299999999</v>
      </c>
      <c r="K27">
        <v>12.241997</v>
      </c>
      <c r="L27">
        <v>188.139679</v>
      </c>
      <c r="M27">
        <v>16.848997000000001</v>
      </c>
      <c r="N27">
        <v>61.748500999999997</v>
      </c>
      <c r="O27">
        <v>61.748500999999997</v>
      </c>
      <c r="P27">
        <v>60.457560999999998</v>
      </c>
      <c r="Q27">
        <v>35.397877000000001</v>
      </c>
      <c r="R27">
        <v>1.6113010000000001</v>
      </c>
      <c r="S27">
        <v>0.608545</v>
      </c>
      <c r="T27">
        <v>0.62232699999999996</v>
      </c>
      <c r="U27">
        <v>2.04616</v>
      </c>
      <c r="V27">
        <v>269.671021</v>
      </c>
      <c r="W27">
        <v>297.08758499999999</v>
      </c>
      <c r="X27">
        <v>144.374527</v>
      </c>
      <c r="Y27" t="s">
        <v>114</v>
      </c>
      <c r="Z27">
        <v>-1</v>
      </c>
      <c r="AA27">
        <v>-1</v>
      </c>
      <c r="AB27">
        <v>1.4</v>
      </c>
      <c r="AC27">
        <v>3.656155</v>
      </c>
      <c r="AD27">
        <v>0.18</v>
      </c>
      <c r="AE27">
        <v>21.302999</v>
      </c>
      <c r="AF27">
        <v>0</v>
      </c>
      <c r="AG27">
        <v>105.980385</v>
      </c>
      <c r="AH27">
        <v>-9.2414210000000008</v>
      </c>
      <c r="AI27">
        <v>347.70114100000001</v>
      </c>
      <c r="AJ27">
        <v>-37.824947000000002</v>
      </c>
      <c r="AK27">
        <v>31.032795</v>
      </c>
      <c r="AL27">
        <v>57.932380999999999</v>
      </c>
      <c r="AM27">
        <v>316.80316199999999</v>
      </c>
      <c r="AN27">
        <v>39.488033000000001</v>
      </c>
      <c r="AO27">
        <v>357.75826999999998</v>
      </c>
      <c r="AP27">
        <v>51.744469000000002</v>
      </c>
      <c r="AQ27">
        <v>103.939308</v>
      </c>
      <c r="AR27">
        <v>162.00933800000001</v>
      </c>
      <c r="AS27">
        <v>107.987343</v>
      </c>
      <c r="AT27">
        <v>5.1210529999999999</v>
      </c>
      <c r="AU27">
        <v>29.132425000000001</v>
      </c>
      <c r="AV27">
        <v>54.432155999999999</v>
      </c>
      <c r="AW27">
        <v>357.613159</v>
      </c>
      <c r="AX27">
        <v>51.756889000000001</v>
      </c>
      <c r="AY27">
        <v>99.713088999999997</v>
      </c>
      <c r="AZ27">
        <v>165.779022</v>
      </c>
      <c r="BA27">
        <v>111.643501</v>
      </c>
      <c r="BB27">
        <v>5.0043030000000002</v>
      </c>
      <c r="BC27">
        <v>11.114731000000001</v>
      </c>
      <c r="BD27">
        <v>97.852737000000005</v>
      </c>
      <c r="BE27">
        <v>22.155024999999998</v>
      </c>
      <c r="BF27">
        <v>23.025358000000001</v>
      </c>
      <c r="BG27">
        <v>22.488437999999999</v>
      </c>
      <c r="BH27">
        <v>10</v>
      </c>
      <c r="BI27">
        <v>10</v>
      </c>
      <c r="BJ27">
        <v>0</v>
      </c>
      <c r="BK27">
        <v>128</v>
      </c>
      <c r="BL27">
        <v>2.5159999999999998E-2</v>
      </c>
      <c r="BM27">
        <v>1.7559999999999999E-2</v>
      </c>
      <c r="BN27">
        <v>-1</v>
      </c>
      <c r="BO27">
        <v>3</v>
      </c>
      <c r="BP27">
        <v>1</v>
      </c>
      <c r="BQ27">
        <v>4.1999969999999998</v>
      </c>
      <c r="BR27">
        <v>175.21826200000001</v>
      </c>
      <c r="BS27">
        <v>5.3849650000000002</v>
      </c>
      <c r="BT27">
        <v>1.3908999999999999E-2</v>
      </c>
      <c r="BU27">
        <v>1.1456440000000001</v>
      </c>
      <c r="BV27">
        <v>0.156057</v>
      </c>
      <c r="BW27">
        <v>0.53916900000000001</v>
      </c>
      <c r="BX27">
        <v>9.9933209999999999</v>
      </c>
      <c r="BY27">
        <v>114.562157</v>
      </c>
      <c r="BZ27">
        <v>9.8132999999999998E-2</v>
      </c>
      <c r="CA27">
        <v>2020</v>
      </c>
      <c r="CB27">
        <v>1</v>
      </c>
      <c r="CC27">
        <v>18</v>
      </c>
      <c r="CD27">
        <v>0</v>
      </c>
      <c r="CE27">
        <v>37</v>
      </c>
      <c r="CF27">
        <v>38.630004999999997</v>
      </c>
      <c r="CG27">
        <v>2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0.62061699999999997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</row>
    <row r="28" spans="1:105" x14ac:dyDescent="0.25">
      <c r="A28">
        <v>27</v>
      </c>
      <c r="B28" t="s">
        <v>144</v>
      </c>
      <c r="C28">
        <v>58866.032768999998</v>
      </c>
      <c r="D28">
        <v>297.09429899999998</v>
      </c>
      <c r="E28" s="3" t="s">
        <v>110</v>
      </c>
      <c r="F28" s="3" t="s">
        <v>111</v>
      </c>
      <c r="G28">
        <v>-1.0158130000000001</v>
      </c>
      <c r="H28">
        <v>219.42143200000001</v>
      </c>
      <c r="I28">
        <v>36.174594999999997</v>
      </c>
      <c r="J28">
        <v>220.12365700000001</v>
      </c>
      <c r="K28">
        <v>35.778441999999998</v>
      </c>
      <c r="L28">
        <v>201.722748</v>
      </c>
      <c r="M28">
        <v>48.104503999999999</v>
      </c>
      <c r="N28">
        <v>52.823920999999999</v>
      </c>
      <c r="O28">
        <v>52.823920999999999</v>
      </c>
      <c r="P28">
        <v>51.390633000000001</v>
      </c>
      <c r="Q28">
        <v>38.573421000000003</v>
      </c>
      <c r="R28">
        <v>2.8103359999999999</v>
      </c>
      <c r="S28">
        <v>0.97580599999999995</v>
      </c>
      <c r="T28">
        <v>0.65278000000000003</v>
      </c>
      <c r="U28">
        <v>4.713158</v>
      </c>
      <c r="V28">
        <v>191.601776</v>
      </c>
      <c r="W28">
        <v>297.09429899999998</v>
      </c>
      <c r="X28">
        <v>95.810608000000002</v>
      </c>
      <c r="Y28" t="s">
        <v>114</v>
      </c>
      <c r="Z28">
        <v>-1</v>
      </c>
      <c r="AA28">
        <v>-1</v>
      </c>
      <c r="AB28">
        <v>-0.5</v>
      </c>
      <c r="AC28">
        <v>2.5065330000000001</v>
      </c>
      <c r="AD28">
        <v>0.26</v>
      </c>
      <c r="AE28">
        <v>9.5139999999999993</v>
      </c>
      <c r="AF28">
        <v>0</v>
      </c>
      <c r="AG28">
        <v>26.497910999999998</v>
      </c>
      <c r="AH28">
        <v>53.122329999999998</v>
      </c>
      <c r="AI28">
        <v>30.495000999999998</v>
      </c>
      <c r="AJ28">
        <v>-34.007888999999999</v>
      </c>
      <c r="AK28">
        <v>191.41197199999999</v>
      </c>
      <c r="AL28">
        <v>35.917960999999998</v>
      </c>
      <c r="AM28">
        <v>83.419105999999999</v>
      </c>
      <c r="AN28">
        <v>42.661861000000002</v>
      </c>
      <c r="AO28">
        <v>7.3116E-2</v>
      </c>
      <c r="AP28">
        <v>51.959159999999997</v>
      </c>
      <c r="AQ28">
        <v>91.376472000000007</v>
      </c>
      <c r="AR28">
        <v>133.09622200000001</v>
      </c>
      <c r="AS28">
        <v>22.568998000000001</v>
      </c>
      <c r="AT28">
        <v>21.636033999999999</v>
      </c>
      <c r="AU28">
        <v>188.37091100000001</v>
      </c>
      <c r="AV28">
        <v>35.488048999999997</v>
      </c>
      <c r="AW28">
        <v>359.91412400000002</v>
      </c>
      <c r="AX28">
        <v>51.913699999999999</v>
      </c>
      <c r="AY28">
        <v>85.080123999999998</v>
      </c>
      <c r="AZ28">
        <v>120.529121</v>
      </c>
      <c r="BA28">
        <v>25.075531000000002</v>
      </c>
      <c r="BB28">
        <v>24.026122999999998</v>
      </c>
      <c r="BC28">
        <v>13.734220000000001</v>
      </c>
      <c r="BD28">
        <v>65.257285999999993</v>
      </c>
      <c r="BE28">
        <v>27.164801000000001</v>
      </c>
      <c r="BF28">
        <v>26.349810000000002</v>
      </c>
      <c r="BG28">
        <v>25.671876999999999</v>
      </c>
      <c r="BH28">
        <v>14</v>
      </c>
      <c r="BI28">
        <v>14</v>
      </c>
      <c r="BJ28">
        <v>0</v>
      </c>
      <c r="BK28">
        <v>22</v>
      </c>
      <c r="BL28">
        <v>1.9259999999999999E-2</v>
      </c>
      <c r="BM28">
        <v>2.368E-2</v>
      </c>
      <c r="BN28">
        <v>-1</v>
      </c>
      <c r="BO28">
        <v>3</v>
      </c>
      <c r="BP28">
        <v>1</v>
      </c>
      <c r="BQ28">
        <v>1.250003</v>
      </c>
      <c r="BR28">
        <v>105.113434</v>
      </c>
      <c r="BS28">
        <v>73.881827999999999</v>
      </c>
      <c r="BT28">
        <v>4.3400000000000001E-3</v>
      </c>
      <c r="BU28">
        <v>55.554886000000003</v>
      </c>
      <c r="BV28">
        <v>0.223465</v>
      </c>
      <c r="BW28">
        <v>0.69272999999999996</v>
      </c>
      <c r="BX28">
        <v>0.26646599999999998</v>
      </c>
      <c r="BY28">
        <v>0.65446199999999999</v>
      </c>
      <c r="BZ28">
        <v>0.97628099999999995</v>
      </c>
      <c r="CA28">
        <v>2020</v>
      </c>
      <c r="CB28">
        <v>1</v>
      </c>
      <c r="CC28">
        <v>18</v>
      </c>
      <c r="CD28">
        <v>0</v>
      </c>
      <c r="CE28">
        <v>47</v>
      </c>
      <c r="CF28">
        <v>11.229996999999999</v>
      </c>
      <c r="CG28">
        <v>2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0.35582900000000001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</row>
    <row r="29" spans="1:105" x14ac:dyDescent="0.25">
      <c r="A29">
        <v>28</v>
      </c>
      <c r="B29" t="s">
        <v>145</v>
      </c>
      <c r="C29">
        <v>58866.044295</v>
      </c>
      <c r="D29">
        <v>297.10601800000001</v>
      </c>
      <c r="E29" s="3" t="s">
        <v>110</v>
      </c>
      <c r="F29" s="3" t="s">
        <v>111</v>
      </c>
      <c r="G29">
        <v>-1.389148</v>
      </c>
      <c r="H29">
        <v>159.281082</v>
      </c>
      <c r="I29">
        <v>-25.943451</v>
      </c>
      <c r="J29">
        <v>159.420334</v>
      </c>
      <c r="K29">
        <v>-27.588556000000001</v>
      </c>
      <c r="L29">
        <v>173.01620500000001</v>
      </c>
      <c r="M29">
        <v>-33.286288999999996</v>
      </c>
      <c r="N29">
        <v>44.176017999999999</v>
      </c>
      <c r="O29">
        <v>44.176017999999999</v>
      </c>
      <c r="P29">
        <v>42.614646999999998</v>
      </c>
      <c r="Q29">
        <v>30.675014000000001</v>
      </c>
      <c r="R29">
        <v>1.0284150000000001</v>
      </c>
      <c r="S29">
        <v>0.362624</v>
      </c>
      <c r="T29">
        <v>0.64739500000000005</v>
      </c>
      <c r="U29">
        <v>1.0433429999999999</v>
      </c>
      <c r="V29">
        <v>127.34786200000001</v>
      </c>
      <c r="W29">
        <v>117.106033</v>
      </c>
      <c r="X29">
        <v>88.109054999999998</v>
      </c>
      <c r="Y29" t="s">
        <v>146</v>
      </c>
      <c r="Z29">
        <v>3.5025840000000001</v>
      </c>
      <c r="AA29">
        <v>12.439697000000001</v>
      </c>
      <c r="AB29">
        <v>-1.1000000000000001</v>
      </c>
      <c r="AC29">
        <v>17.601963000000001</v>
      </c>
      <c r="AD29">
        <v>0.82</v>
      </c>
      <c r="AE29">
        <v>21.934000000000001</v>
      </c>
      <c r="AF29">
        <v>0</v>
      </c>
      <c r="AG29">
        <v>83.018874999999994</v>
      </c>
      <c r="AH29">
        <v>26.018221</v>
      </c>
      <c r="AI29">
        <v>289.14093000000003</v>
      </c>
      <c r="AJ29">
        <v>-14.491042</v>
      </c>
      <c r="AK29">
        <v>191.23526000000001</v>
      </c>
      <c r="AL29">
        <v>32.636367999999997</v>
      </c>
      <c r="AM29">
        <v>90.023978999999997</v>
      </c>
      <c r="AN29">
        <v>43.143749</v>
      </c>
      <c r="AO29">
        <v>359.92355300000003</v>
      </c>
      <c r="AP29">
        <v>51.861027</v>
      </c>
      <c r="AQ29">
        <v>82.398300000000006</v>
      </c>
      <c r="AR29">
        <v>119.04484600000001</v>
      </c>
      <c r="AS29">
        <v>66.010718999999995</v>
      </c>
      <c r="AT29">
        <v>2.0976699999999999</v>
      </c>
      <c r="AU29">
        <v>204.59124800000001</v>
      </c>
      <c r="AV29">
        <v>47.006756000000003</v>
      </c>
      <c r="AW29">
        <v>359.71380599999998</v>
      </c>
      <c r="AX29">
        <v>52.151211000000004</v>
      </c>
      <c r="AY29">
        <v>76.955742000000001</v>
      </c>
      <c r="AZ29">
        <v>109.44119999999999</v>
      </c>
      <c r="BA29">
        <v>83.612679</v>
      </c>
      <c r="BB29">
        <v>2.2818369999999999</v>
      </c>
      <c r="BC29">
        <v>36.224335000000004</v>
      </c>
      <c r="BD29">
        <v>155.876892</v>
      </c>
      <c r="BE29">
        <v>8.6376709999999992</v>
      </c>
      <c r="BF29">
        <v>8.3129390000000001</v>
      </c>
      <c r="BG29">
        <v>6.7037930000000001</v>
      </c>
      <c r="BH29">
        <v>42</v>
      </c>
      <c r="BI29">
        <v>42</v>
      </c>
      <c r="BJ29">
        <v>0</v>
      </c>
      <c r="BK29">
        <v>27</v>
      </c>
      <c r="BL29">
        <v>2.6040000000000001E-2</v>
      </c>
      <c r="BM29">
        <v>1.289E-2</v>
      </c>
      <c r="BN29">
        <v>-1</v>
      </c>
      <c r="BO29">
        <v>3</v>
      </c>
      <c r="BP29">
        <v>1</v>
      </c>
      <c r="BQ29">
        <v>1.1099920000000001</v>
      </c>
      <c r="BR29">
        <v>105.113434</v>
      </c>
      <c r="BS29">
        <v>2.2960980000000002</v>
      </c>
      <c r="BT29">
        <v>4.5209999999999998E-3</v>
      </c>
      <c r="BU29">
        <v>25.581651999999998</v>
      </c>
      <c r="BV29">
        <v>3.7856450000000001</v>
      </c>
      <c r="BW29">
        <v>1.649796</v>
      </c>
      <c r="BX29">
        <v>3.3232780000000002</v>
      </c>
      <c r="BY29">
        <v>83.467911000000001</v>
      </c>
      <c r="BZ29">
        <v>0.209338</v>
      </c>
      <c r="CA29">
        <v>2020</v>
      </c>
      <c r="CB29">
        <v>1</v>
      </c>
      <c r="CC29">
        <v>18</v>
      </c>
      <c r="CD29">
        <v>1</v>
      </c>
      <c r="CE29">
        <v>3</v>
      </c>
      <c r="CF29">
        <v>47.130004999999997</v>
      </c>
      <c r="CG29">
        <v>2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0.97236999999999996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25">
      <c r="A30">
        <v>29</v>
      </c>
      <c r="B30" t="s">
        <v>147</v>
      </c>
      <c r="C30">
        <v>58866.046757999997</v>
      </c>
      <c r="D30">
        <v>297.10855099999998</v>
      </c>
      <c r="E30" s="3" t="s">
        <v>107</v>
      </c>
      <c r="F30" s="3" t="s">
        <v>122</v>
      </c>
      <c r="G30">
        <v>0.93891400000000003</v>
      </c>
      <c r="H30">
        <v>167.613495</v>
      </c>
      <c r="I30">
        <v>12.511513000000001</v>
      </c>
      <c r="J30">
        <v>167.62387100000001</v>
      </c>
      <c r="K30">
        <v>12.133984999999999</v>
      </c>
      <c r="L30">
        <v>163.88742099999999</v>
      </c>
      <c r="M30">
        <v>6.287401</v>
      </c>
      <c r="N30">
        <v>58.916412000000001</v>
      </c>
      <c r="O30">
        <v>58.916412000000001</v>
      </c>
      <c r="P30">
        <v>57.669922</v>
      </c>
      <c r="Q30">
        <v>41.262852000000002</v>
      </c>
      <c r="R30">
        <v>8.7877720000000004</v>
      </c>
      <c r="S30">
        <v>9.4374E-2</v>
      </c>
      <c r="T30">
        <v>0.98926099999999995</v>
      </c>
      <c r="U30">
        <v>26.061111</v>
      </c>
      <c r="V30">
        <v>324.87991299999999</v>
      </c>
      <c r="W30">
        <v>297.10861199999999</v>
      </c>
      <c r="X30">
        <v>151.22306800000001</v>
      </c>
      <c r="Y30" t="s">
        <v>114</v>
      </c>
      <c r="Z30">
        <v>-1</v>
      </c>
      <c r="AA30">
        <v>-1</v>
      </c>
      <c r="AB30">
        <v>1.2</v>
      </c>
      <c r="AC30">
        <v>4.5332790000000003</v>
      </c>
      <c r="AD30">
        <v>0.16</v>
      </c>
      <c r="AE30">
        <v>27.381001000000001</v>
      </c>
      <c r="AF30">
        <v>0</v>
      </c>
      <c r="AG30">
        <v>79.527175999999997</v>
      </c>
      <c r="AH30">
        <v>-8.5580169999999995</v>
      </c>
      <c r="AI30">
        <v>311.07931500000001</v>
      </c>
      <c r="AJ30">
        <v>-29.369506999999999</v>
      </c>
      <c r="AK30">
        <v>124.54948400000001</v>
      </c>
      <c r="AL30">
        <v>77.981026</v>
      </c>
      <c r="AM30">
        <v>357.58270299999998</v>
      </c>
      <c r="AN30">
        <v>62.699908999999998</v>
      </c>
      <c r="AO30">
        <v>356.745789</v>
      </c>
      <c r="AP30">
        <v>51.155548000000003</v>
      </c>
      <c r="AQ30">
        <v>101.806442</v>
      </c>
      <c r="AR30">
        <v>114.30081199999999</v>
      </c>
      <c r="AS30">
        <v>68.874672000000004</v>
      </c>
      <c r="AT30">
        <v>68.719711000000004</v>
      </c>
      <c r="AU30">
        <v>104.348618</v>
      </c>
      <c r="AV30">
        <v>80.585823000000005</v>
      </c>
      <c r="AW30">
        <v>356.66751099999999</v>
      </c>
      <c r="AX30">
        <v>51.194617999999998</v>
      </c>
      <c r="AY30">
        <v>95.616523999999998</v>
      </c>
      <c r="AZ30">
        <v>111.251411</v>
      </c>
      <c r="BA30">
        <v>73.407950999999997</v>
      </c>
      <c r="BB30">
        <v>73.207481000000001</v>
      </c>
      <c r="BC30">
        <v>9.4266249999999996</v>
      </c>
      <c r="BD30">
        <v>128.395477</v>
      </c>
      <c r="BE30">
        <v>40.850741999999997</v>
      </c>
      <c r="BF30">
        <v>41.157463</v>
      </c>
      <c r="BG30">
        <v>40.827449999999999</v>
      </c>
      <c r="BH30">
        <v>9</v>
      </c>
      <c r="BI30">
        <v>6</v>
      </c>
      <c r="BJ30">
        <v>33.333331999999999</v>
      </c>
      <c r="BK30">
        <v>0</v>
      </c>
      <c r="BL30">
        <v>0.1</v>
      </c>
      <c r="BM30">
        <v>1.0670000000000001E-2</v>
      </c>
      <c r="BN30">
        <v>-1</v>
      </c>
      <c r="BO30">
        <v>3</v>
      </c>
      <c r="BP30">
        <v>1</v>
      </c>
      <c r="BQ30">
        <v>0.180003</v>
      </c>
      <c r="BR30">
        <v>267.49429300000003</v>
      </c>
      <c r="BS30">
        <v>87.375838999999999</v>
      </c>
      <c r="BT30">
        <v>4.5258E-2</v>
      </c>
      <c r="BU30">
        <v>73.660743999999994</v>
      </c>
      <c r="BV30">
        <v>0.98208499999999999</v>
      </c>
      <c r="BW30">
        <v>0.377664</v>
      </c>
      <c r="BX30">
        <v>1.678666</v>
      </c>
      <c r="BY30">
        <v>1.7534380000000001</v>
      </c>
      <c r="BZ30">
        <v>0.88055300000000003</v>
      </c>
      <c r="CA30">
        <v>2020</v>
      </c>
      <c r="CB30">
        <v>1</v>
      </c>
      <c r="CC30">
        <v>18</v>
      </c>
      <c r="CD30">
        <v>1</v>
      </c>
      <c r="CE30">
        <v>7</v>
      </c>
      <c r="CF30">
        <v>19.879999000000002</v>
      </c>
      <c r="CG30">
        <v>2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0.11379400000000001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</row>
    <row r="31" spans="1:105" x14ac:dyDescent="0.25">
      <c r="A31">
        <v>30</v>
      </c>
      <c r="B31" t="s">
        <v>148</v>
      </c>
      <c r="C31">
        <v>58866.064140000002</v>
      </c>
      <c r="D31">
        <v>297.12625100000002</v>
      </c>
      <c r="E31" s="3" t="s">
        <v>107</v>
      </c>
      <c r="F31" s="3" t="s">
        <v>122</v>
      </c>
      <c r="G31">
        <v>-1.2841659999999999</v>
      </c>
      <c r="H31">
        <v>226.18171699999999</v>
      </c>
      <c r="I31">
        <v>37.748238000000001</v>
      </c>
      <c r="J31">
        <v>226.81733700000001</v>
      </c>
      <c r="K31">
        <v>37.443793999999997</v>
      </c>
      <c r="L31">
        <v>208.037994</v>
      </c>
      <c r="M31">
        <v>52.006905000000003</v>
      </c>
      <c r="N31">
        <v>55.169640000000001</v>
      </c>
      <c r="O31">
        <v>55.169640000000001</v>
      </c>
      <c r="P31">
        <v>53.787497999999999</v>
      </c>
      <c r="Q31">
        <v>42.488166999999997</v>
      </c>
      <c r="R31">
        <v>-530.00207499999999</v>
      </c>
      <c r="S31">
        <v>0.98350800000000005</v>
      </c>
      <c r="T31">
        <v>1.0018560000000001</v>
      </c>
      <c r="U31">
        <v>0</v>
      </c>
      <c r="V31">
        <v>178.21946700000001</v>
      </c>
      <c r="W31">
        <v>297.12625100000002</v>
      </c>
      <c r="X31">
        <v>93.821838</v>
      </c>
      <c r="Y31" t="s">
        <v>149</v>
      </c>
      <c r="Z31">
        <v>2.5727799999999998</v>
      </c>
      <c r="AA31">
        <v>28.065472</v>
      </c>
      <c r="AB31">
        <v>-0.7</v>
      </c>
      <c r="AC31">
        <v>3.8057780000000001</v>
      </c>
      <c r="AD31">
        <v>0.34</v>
      </c>
      <c r="AE31">
        <v>11.002000000000001</v>
      </c>
      <c r="AF31">
        <v>0</v>
      </c>
      <c r="AG31">
        <v>147.82908599999999</v>
      </c>
      <c r="AH31">
        <v>-14.6149</v>
      </c>
      <c r="AI31">
        <v>28.620632000000001</v>
      </c>
      <c r="AJ31">
        <v>-34.557811999999998</v>
      </c>
      <c r="AK31">
        <v>209.46942100000001</v>
      </c>
      <c r="AL31">
        <v>61.235019999999999</v>
      </c>
      <c r="AM31">
        <v>46.053528</v>
      </c>
      <c r="AN31">
        <v>50.171120000000002</v>
      </c>
      <c r="AO31">
        <v>357.68087800000001</v>
      </c>
      <c r="AP31">
        <v>51.234408999999999</v>
      </c>
      <c r="AQ31">
        <v>107.756653</v>
      </c>
      <c r="AR31">
        <v>139.183853</v>
      </c>
      <c r="AS31">
        <v>25.699618999999998</v>
      </c>
      <c r="AT31">
        <v>22.930012000000001</v>
      </c>
      <c r="AU31">
        <v>204.84873999999999</v>
      </c>
      <c r="AV31">
        <v>64.404387999999997</v>
      </c>
      <c r="AW31">
        <v>357.47210699999999</v>
      </c>
      <c r="AX31">
        <v>51.173045999999999</v>
      </c>
      <c r="AY31">
        <v>98.575835999999995</v>
      </c>
      <c r="AZ31">
        <v>122.55194899999999</v>
      </c>
      <c r="BA31">
        <v>29.505398</v>
      </c>
      <c r="BB31">
        <v>26.262297</v>
      </c>
      <c r="BC31">
        <v>18.757677000000001</v>
      </c>
      <c r="BD31">
        <v>65.043876999999995</v>
      </c>
      <c r="BE31">
        <v>29.213197999999998</v>
      </c>
      <c r="BF31">
        <v>28.466819999999998</v>
      </c>
      <c r="BG31">
        <v>27.893414</v>
      </c>
      <c r="BH31">
        <v>18</v>
      </c>
      <c r="BI31">
        <v>18</v>
      </c>
      <c r="BJ31">
        <v>0</v>
      </c>
      <c r="BK31">
        <v>0</v>
      </c>
      <c r="BL31">
        <v>0.1</v>
      </c>
      <c r="BM31">
        <v>1.069E-2</v>
      </c>
      <c r="BN31">
        <v>-1</v>
      </c>
      <c r="BO31">
        <v>3</v>
      </c>
      <c r="BP31">
        <v>1</v>
      </c>
      <c r="BQ31">
        <v>0.17999299999999999</v>
      </c>
      <c r="BR31">
        <v>267.49429300000003</v>
      </c>
      <c r="BS31">
        <v>63.952297000000002</v>
      </c>
      <c r="BT31">
        <v>6.2200000000000005E-4</v>
      </c>
      <c r="BU31">
        <v>37.351573999999999</v>
      </c>
      <c r="BV31">
        <v>18.405994</v>
      </c>
      <c r="BW31">
        <v>0.58848800000000001</v>
      </c>
      <c r="BX31">
        <v>0.88467099999999999</v>
      </c>
      <c r="BY31">
        <v>1.999341</v>
      </c>
      <c r="BZ31">
        <v>0.92741799999999996</v>
      </c>
      <c r="CA31">
        <v>2020</v>
      </c>
      <c r="CB31">
        <v>1</v>
      </c>
      <c r="CC31">
        <v>18</v>
      </c>
      <c r="CD31">
        <v>1</v>
      </c>
      <c r="CE31">
        <v>32</v>
      </c>
      <c r="CF31">
        <v>21.660004000000001</v>
      </c>
      <c r="CG31">
        <v>2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-1.887E-3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25">
      <c r="A32">
        <v>31</v>
      </c>
      <c r="B32" t="s">
        <v>150</v>
      </c>
      <c r="C32">
        <v>58866.073917000002</v>
      </c>
      <c r="D32">
        <v>297.13619999999997</v>
      </c>
      <c r="E32" s="3" t="s">
        <v>125</v>
      </c>
      <c r="F32" s="3" t="s">
        <v>106</v>
      </c>
      <c r="G32">
        <v>-0.95583499999999999</v>
      </c>
      <c r="H32">
        <v>214.825073</v>
      </c>
      <c r="I32">
        <v>21.681263000000001</v>
      </c>
      <c r="J32">
        <v>215.15194700000001</v>
      </c>
      <c r="K32">
        <v>21.330746000000001</v>
      </c>
      <c r="L32">
        <v>204.518372</v>
      </c>
      <c r="M32">
        <v>33.164833000000002</v>
      </c>
      <c r="N32">
        <v>61.922939</v>
      </c>
      <c r="O32">
        <v>61.922939</v>
      </c>
      <c r="P32">
        <v>60.646712999999998</v>
      </c>
      <c r="Q32">
        <v>39.028778000000003</v>
      </c>
      <c r="R32">
        <v>3.1646559999999999</v>
      </c>
      <c r="S32">
        <v>0.97997199999999995</v>
      </c>
      <c r="T32">
        <v>0.69033800000000001</v>
      </c>
      <c r="U32">
        <v>5.6320230000000002</v>
      </c>
      <c r="V32">
        <v>187.860062</v>
      </c>
      <c r="W32">
        <v>297.13623000000001</v>
      </c>
      <c r="X32">
        <v>121.63800000000001</v>
      </c>
      <c r="Y32" t="s">
        <v>114</v>
      </c>
      <c r="Z32">
        <v>-1</v>
      </c>
      <c r="AA32">
        <v>-1</v>
      </c>
      <c r="AB32">
        <v>0</v>
      </c>
      <c r="AC32">
        <v>8.4185540000000003</v>
      </c>
      <c r="AD32">
        <v>0.38</v>
      </c>
      <c r="AE32">
        <v>22.347999999999999</v>
      </c>
      <c r="AF32">
        <v>0</v>
      </c>
      <c r="AG32">
        <v>128.667114</v>
      </c>
      <c r="AH32">
        <v>-9.5666829999999994</v>
      </c>
      <c r="AI32">
        <v>359.11209100000002</v>
      </c>
      <c r="AJ32">
        <v>-37.442951000000001</v>
      </c>
      <c r="AK32">
        <v>53.488331000000002</v>
      </c>
      <c r="AL32">
        <v>56.620635999999998</v>
      </c>
      <c r="AM32">
        <v>312.53524800000002</v>
      </c>
      <c r="AN32">
        <v>41.837356999999997</v>
      </c>
      <c r="AO32">
        <v>357.467285</v>
      </c>
      <c r="AP32">
        <v>52.545650000000002</v>
      </c>
      <c r="AQ32">
        <v>102.283478</v>
      </c>
      <c r="AR32">
        <v>152.37683100000001</v>
      </c>
      <c r="AS32">
        <v>100.129333</v>
      </c>
      <c r="AT32">
        <v>21.054435999999999</v>
      </c>
      <c r="AU32">
        <v>49.659424000000001</v>
      </c>
      <c r="AV32">
        <v>48.526584999999997</v>
      </c>
      <c r="AW32">
        <v>357.16220099999998</v>
      </c>
      <c r="AX32">
        <v>52.541030999999997</v>
      </c>
      <c r="AY32">
        <v>91.705939999999998</v>
      </c>
      <c r="AZ32">
        <v>158.220032</v>
      </c>
      <c r="BA32">
        <v>108.54789</v>
      </c>
      <c r="BB32">
        <v>20.242069000000001</v>
      </c>
      <c r="BC32">
        <v>23.530716000000002</v>
      </c>
      <c r="BD32">
        <v>88.676108999999997</v>
      </c>
      <c r="BE32">
        <v>26.595732000000002</v>
      </c>
      <c r="BF32">
        <v>27.328752999999999</v>
      </c>
      <c r="BG32">
        <v>26.864716000000001</v>
      </c>
      <c r="BH32">
        <v>20</v>
      </c>
      <c r="BI32">
        <v>20</v>
      </c>
      <c r="BJ32">
        <v>0</v>
      </c>
      <c r="BK32">
        <v>40</v>
      </c>
      <c r="BL32">
        <v>2.3769999999999999E-2</v>
      </c>
      <c r="BM32">
        <v>9.7300000000000008E-3</v>
      </c>
      <c r="BN32">
        <v>-1</v>
      </c>
      <c r="BO32">
        <v>3</v>
      </c>
      <c r="BP32">
        <v>1</v>
      </c>
      <c r="BQ32">
        <v>0.14999899999999999</v>
      </c>
      <c r="BR32">
        <v>105.113434</v>
      </c>
      <c r="BS32">
        <v>21.404074000000001</v>
      </c>
      <c r="BT32">
        <v>4.8500000000000003E-4</v>
      </c>
      <c r="BU32">
        <v>61.848869000000001</v>
      </c>
      <c r="BV32">
        <v>1.1021209999999999</v>
      </c>
      <c r="BW32">
        <v>0.464057</v>
      </c>
      <c r="BX32">
        <v>0.91669400000000001</v>
      </c>
      <c r="BY32">
        <v>2.6495009999999999</v>
      </c>
      <c r="BZ32">
        <v>0.91668000000000005</v>
      </c>
      <c r="CA32">
        <v>2020</v>
      </c>
      <c r="CB32">
        <v>1</v>
      </c>
      <c r="CC32">
        <v>18</v>
      </c>
      <c r="CD32">
        <v>1</v>
      </c>
      <c r="CE32">
        <v>46</v>
      </c>
      <c r="CF32">
        <v>26.409998000000002</v>
      </c>
      <c r="CG32">
        <v>2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0.31598999999999999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</row>
    <row r="33" spans="1:105" x14ac:dyDescent="0.25">
      <c r="A33">
        <v>32</v>
      </c>
      <c r="B33" t="s">
        <v>151</v>
      </c>
      <c r="C33">
        <v>58866.080362000001</v>
      </c>
      <c r="D33">
        <v>297.14276100000001</v>
      </c>
      <c r="E33" s="3" t="s">
        <v>110</v>
      </c>
      <c r="F33" s="3" t="s">
        <v>111</v>
      </c>
      <c r="G33">
        <v>-2.3038419999999999</v>
      </c>
      <c r="H33">
        <v>211.07456999999999</v>
      </c>
      <c r="I33">
        <v>19.532997000000002</v>
      </c>
      <c r="J33">
        <v>211.15193199999999</v>
      </c>
      <c r="K33">
        <v>19.412822999999999</v>
      </c>
      <c r="L33">
        <v>201.34674100000001</v>
      </c>
      <c r="M33">
        <v>29.934280000000001</v>
      </c>
      <c r="N33">
        <v>95.328216999999995</v>
      </c>
      <c r="O33">
        <v>95.328216999999995</v>
      </c>
      <c r="P33">
        <v>94.420631</v>
      </c>
      <c r="Q33">
        <v>70.003783999999996</v>
      </c>
      <c r="R33">
        <v>-0.28645100000000001</v>
      </c>
      <c r="S33">
        <v>0.97559200000000001</v>
      </c>
      <c r="T33">
        <v>4.4057909999999998</v>
      </c>
      <c r="U33">
        <v>0</v>
      </c>
      <c r="V33">
        <v>188.178864</v>
      </c>
      <c r="W33">
        <v>297.14279199999999</v>
      </c>
      <c r="X33">
        <v>137.34106399999999</v>
      </c>
      <c r="Y33" t="s">
        <v>114</v>
      </c>
      <c r="Z33">
        <v>-1</v>
      </c>
      <c r="AA33">
        <v>-1</v>
      </c>
      <c r="AB33">
        <v>-0.4</v>
      </c>
      <c r="AC33">
        <v>1.4549529999999999</v>
      </c>
      <c r="AD33">
        <v>0.12</v>
      </c>
      <c r="AE33">
        <v>11.759</v>
      </c>
      <c r="AF33">
        <v>0</v>
      </c>
      <c r="AG33">
        <v>98.423682999999997</v>
      </c>
      <c r="AH33">
        <v>47.348827</v>
      </c>
      <c r="AI33">
        <v>350.627411</v>
      </c>
      <c r="AJ33">
        <v>-36.702126</v>
      </c>
      <c r="AK33">
        <v>241.51026899999999</v>
      </c>
      <c r="AL33">
        <v>36.373038999999999</v>
      </c>
      <c r="AM33">
        <v>60.936160999999998</v>
      </c>
      <c r="AN33">
        <v>23.839846000000001</v>
      </c>
      <c r="AO33">
        <v>1.5427569999999999</v>
      </c>
      <c r="AP33">
        <v>52.795333999999997</v>
      </c>
      <c r="AQ33">
        <v>103.56675</v>
      </c>
      <c r="AR33">
        <v>245.14645400000001</v>
      </c>
      <c r="AS33">
        <v>31.51005</v>
      </c>
      <c r="AT33">
        <v>2.5993870000000001</v>
      </c>
      <c r="AU33">
        <v>243.17344700000001</v>
      </c>
      <c r="AV33">
        <v>36.953612999999997</v>
      </c>
      <c r="AW33">
        <v>1.401664</v>
      </c>
      <c r="AX33">
        <v>52.808349999999997</v>
      </c>
      <c r="AY33">
        <v>97.633658999999994</v>
      </c>
      <c r="AZ33">
        <v>235.46977200000001</v>
      </c>
      <c r="BA33">
        <v>32.965000000000003</v>
      </c>
      <c r="BB33">
        <v>2.7062879999999998</v>
      </c>
      <c r="BC33">
        <v>11.439386000000001</v>
      </c>
      <c r="BD33">
        <v>98.691719000000006</v>
      </c>
      <c r="BE33">
        <v>31.069545999999999</v>
      </c>
      <c r="BF33">
        <v>29.452829000000001</v>
      </c>
      <c r="BG33">
        <v>29.314109999999999</v>
      </c>
      <c r="BH33">
        <v>7</v>
      </c>
      <c r="BI33">
        <v>7</v>
      </c>
      <c r="BJ33">
        <v>0</v>
      </c>
      <c r="BK33">
        <v>31</v>
      </c>
      <c r="BL33">
        <v>2.5440000000000001E-2</v>
      </c>
      <c r="BM33">
        <v>2.0719999999999999E-2</v>
      </c>
      <c r="BN33">
        <v>-1</v>
      </c>
      <c r="BO33">
        <v>3</v>
      </c>
      <c r="BP33">
        <v>1</v>
      </c>
      <c r="BQ33">
        <v>1.4199980000000001</v>
      </c>
      <c r="BR33">
        <v>105.113434</v>
      </c>
      <c r="BS33">
        <v>4.9780519999999999</v>
      </c>
      <c r="BT33">
        <v>0.28487400000000002</v>
      </c>
      <c r="BU33">
        <v>11.828856999999999</v>
      </c>
      <c r="BV33">
        <v>11.201936999999999</v>
      </c>
      <c r="BW33">
        <v>0.14057600000000001</v>
      </c>
      <c r="BX33">
        <v>8.6873100000000001</v>
      </c>
      <c r="BY33">
        <v>183.990555</v>
      </c>
      <c r="BZ33">
        <v>9.1200000000000005E-4</v>
      </c>
      <c r="CA33">
        <v>2020</v>
      </c>
      <c r="CB33">
        <v>1</v>
      </c>
      <c r="CC33">
        <v>18</v>
      </c>
      <c r="CD33">
        <v>1</v>
      </c>
      <c r="CE33">
        <v>55</v>
      </c>
      <c r="CF33">
        <v>43.290000999999997</v>
      </c>
      <c r="CG33">
        <v>2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-3.4909979999999998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25">
      <c r="A34">
        <v>33</v>
      </c>
      <c r="B34" t="s">
        <v>152</v>
      </c>
      <c r="C34">
        <v>58866.100013000003</v>
      </c>
      <c r="D34">
        <v>297.162781</v>
      </c>
      <c r="E34" s="3" t="s">
        <v>153</v>
      </c>
      <c r="F34" s="3" t="s">
        <v>154</v>
      </c>
      <c r="G34">
        <v>-3.9131559999999999</v>
      </c>
      <c r="H34">
        <v>214.98123200000001</v>
      </c>
      <c r="I34">
        <v>50.438285999999998</v>
      </c>
      <c r="J34">
        <v>215.548294</v>
      </c>
      <c r="K34">
        <v>50.460953000000003</v>
      </c>
      <c r="L34">
        <v>183.628998</v>
      </c>
      <c r="M34">
        <v>58.734932000000001</v>
      </c>
      <c r="N34">
        <v>47.203814999999999</v>
      </c>
      <c r="O34">
        <v>47.203814999999999</v>
      </c>
      <c r="P34">
        <v>45.689335</v>
      </c>
      <c r="Q34">
        <v>41.050282000000003</v>
      </c>
      <c r="R34">
        <v>7.4901109999999997</v>
      </c>
      <c r="S34">
        <v>0.92927000000000004</v>
      </c>
      <c r="T34">
        <v>0.87593399999999999</v>
      </c>
      <c r="U34">
        <v>20.507235999999999</v>
      </c>
      <c r="V34">
        <v>208.18836999999999</v>
      </c>
      <c r="W34">
        <v>297.16275000000002</v>
      </c>
      <c r="X34">
        <v>77.674064999999999</v>
      </c>
      <c r="Y34" t="s">
        <v>114</v>
      </c>
      <c r="Z34">
        <v>-1</v>
      </c>
      <c r="AA34">
        <v>-1</v>
      </c>
      <c r="AB34">
        <v>-2</v>
      </c>
      <c r="AC34">
        <v>3.4972560000000001</v>
      </c>
      <c r="AD34">
        <v>0.4</v>
      </c>
      <c r="AE34">
        <v>8.8420000000000005</v>
      </c>
      <c r="AF34">
        <v>0</v>
      </c>
      <c r="AG34">
        <v>112.655106</v>
      </c>
      <c r="AH34">
        <v>10.001977</v>
      </c>
      <c r="AI34">
        <v>33.106644000000003</v>
      </c>
      <c r="AJ34">
        <v>-35.696033</v>
      </c>
      <c r="AK34">
        <v>203.003128</v>
      </c>
      <c r="AL34">
        <v>1.9725280000000001</v>
      </c>
      <c r="AM34">
        <v>120.41583300000001</v>
      </c>
      <c r="AN34">
        <v>24.655096</v>
      </c>
      <c r="AO34">
        <v>1.2700210000000001</v>
      </c>
      <c r="AP34">
        <v>49.778851000000003</v>
      </c>
      <c r="AQ34">
        <v>107.918831</v>
      </c>
      <c r="AR34">
        <v>247.25083900000001</v>
      </c>
      <c r="AS34">
        <v>49.518059000000001</v>
      </c>
      <c r="AT34">
        <v>5.0600250000000004</v>
      </c>
      <c r="AU34">
        <v>202.395523</v>
      </c>
      <c r="AV34">
        <v>-1.4715590000000001</v>
      </c>
      <c r="AW34">
        <v>1.1265970000000001</v>
      </c>
      <c r="AX34">
        <v>49.734814</v>
      </c>
      <c r="AY34">
        <v>93.017868000000007</v>
      </c>
      <c r="AZ34">
        <v>235.431229</v>
      </c>
      <c r="BA34">
        <v>53.015315999999999</v>
      </c>
      <c r="BB34">
        <v>5.3147729999999997</v>
      </c>
      <c r="BC34">
        <v>18.881526999999998</v>
      </c>
      <c r="BD34">
        <v>64.979789999999994</v>
      </c>
      <c r="BE34">
        <v>52.020091999999998</v>
      </c>
      <c r="BF34">
        <v>50.931018999999999</v>
      </c>
      <c r="BG34">
        <v>50.617592000000002</v>
      </c>
      <c r="BH34">
        <v>21</v>
      </c>
      <c r="BI34">
        <v>21</v>
      </c>
      <c r="BJ34">
        <v>0</v>
      </c>
      <c r="BK34">
        <v>11</v>
      </c>
      <c r="BL34">
        <v>1.5440000000000001E-2</v>
      </c>
      <c r="BM34">
        <v>2.0650000000000002E-2</v>
      </c>
      <c r="BN34">
        <v>-1</v>
      </c>
      <c r="BO34">
        <v>3</v>
      </c>
      <c r="BP34">
        <v>1</v>
      </c>
      <c r="BQ34">
        <v>0.05</v>
      </c>
      <c r="BR34">
        <v>27.946843999999999</v>
      </c>
      <c r="BS34">
        <v>6.6589150000000004</v>
      </c>
      <c r="BT34">
        <v>7.2400000000000003E-4</v>
      </c>
      <c r="BU34">
        <v>61.449733999999999</v>
      </c>
      <c r="BV34">
        <v>0.84176399999999996</v>
      </c>
      <c r="BW34">
        <v>0.36179099999999997</v>
      </c>
      <c r="BX34">
        <v>2.6075430000000002</v>
      </c>
      <c r="BY34">
        <v>28.150901999999999</v>
      </c>
      <c r="BZ34">
        <v>0.57658200000000004</v>
      </c>
      <c r="CA34">
        <v>2020</v>
      </c>
      <c r="CB34">
        <v>1</v>
      </c>
      <c r="CC34">
        <v>18</v>
      </c>
      <c r="CD34">
        <v>2</v>
      </c>
      <c r="CE34">
        <v>24</v>
      </c>
      <c r="CF34">
        <v>1.1599999999999999</v>
      </c>
      <c r="CG34">
        <v>2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0.13350899999999999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25">
      <c r="A35">
        <v>34</v>
      </c>
      <c r="B35" t="s">
        <v>155</v>
      </c>
      <c r="C35">
        <v>58866.146381999999</v>
      </c>
      <c r="D35">
        <v>297.209991</v>
      </c>
      <c r="E35" s="3" t="s">
        <v>106</v>
      </c>
      <c r="F35" s="3" t="s">
        <v>143</v>
      </c>
      <c r="G35">
        <v>-1.708448</v>
      </c>
      <c r="H35">
        <v>180.179214</v>
      </c>
      <c r="I35">
        <v>22.883896</v>
      </c>
      <c r="J35">
        <v>179.959473</v>
      </c>
      <c r="K35">
        <v>22.644302</v>
      </c>
      <c r="L35">
        <v>170.54299900000001</v>
      </c>
      <c r="M35">
        <v>20.670076000000002</v>
      </c>
      <c r="N35">
        <v>61.293930000000003</v>
      </c>
      <c r="O35">
        <v>61.293930000000003</v>
      </c>
      <c r="P35">
        <v>60.211838</v>
      </c>
      <c r="Q35">
        <v>42.389488</v>
      </c>
      <c r="R35">
        <v>132.59903</v>
      </c>
      <c r="S35">
        <v>0.36822100000000002</v>
      </c>
      <c r="T35">
        <v>0.99722299999999997</v>
      </c>
      <c r="U35">
        <v>1527.5141599999999</v>
      </c>
      <c r="V35">
        <v>284.66323899999998</v>
      </c>
      <c r="W35">
        <v>297.21002199999998</v>
      </c>
      <c r="X35">
        <v>125.05856300000001</v>
      </c>
      <c r="Y35" t="s">
        <v>156</v>
      </c>
      <c r="Z35">
        <v>4.1963229999999996</v>
      </c>
      <c r="AA35">
        <v>4.3776960000000003</v>
      </c>
      <c r="AB35">
        <v>-0.1</v>
      </c>
      <c r="AC35">
        <v>7.0261550000000002</v>
      </c>
      <c r="AD35">
        <v>0.42</v>
      </c>
      <c r="AE35">
        <v>16.875</v>
      </c>
      <c r="AF35">
        <v>0</v>
      </c>
      <c r="AG35">
        <v>94.892753999999996</v>
      </c>
      <c r="AH35">
        <v>-11.016864999999999</v>
      </c>
      <c r="AI35">
        <v>286.301605</v>
      </c>
      <c r="AJ35">
        <v>-13.470329</v>
      </c>
      <c r="AK35">
        <v>29.161762</v>
      </c>
      <c r="AL35">
        <v>64.654792999999998</v>
      </c>
      <c r="AM35">
        <v>341.22699</v>
      </c>
      <c r="AN35">
        <v>29.929635999999999</v>
      </c>
      <c r="AO35">
        <v>358.14004499999999</v>
      </c>
      <c r="AP35">
        <v>52.458710000000004</v>
      </c>
      <c r="AQ35">
        <v>106.479202</v>
      </c>
      <c r="AR35">
        <v>209.03681900000001</v>
      </c>
      <c r="AS35">
        <v>89.630759999999995</v>
      </c>
      <c r="AT35">
        <v>49.796616</v>
      </c>
      <c r="AU35">
        <v>23.209866000000002</v>
      </c>
      <c r="AV35">
        <v>58.222858000000002</v>
      </c>
      <c r="AW35">
        <v>358.06640599999997</v>
      </c>
      <c r="AX35">
        <v>52.566898000000002</v>
      </c>
      <c r="AY35">
        <v>84.435462999999999</v>
      </c>
      <c r="AZ35">
        <v>210.45130900000001</v>
      </c>
      <c r="BA35">
        <v>96.656914</v>
      </c>
      <c r="BB35">
        <v>49.343086</v>
      </c>
      <c r="BC35">
        <v>25.743449999999999</v>
      </c>
      <c r="BD35">
        <v>157.20472699999999</v>
      </c>
      <c r="BE35">
        <v>58.789496999999997</v>
      </c>
      <c r="BF35">
        <v>60.392890999999999</v>
      </c>
      <c r="BG35">
        <v>60.213242000000001</v>
      </c>
      <c r="BH35">
        <v>22</v>
      </c>
      <c r="BI35">
        <v>22</v>
      </c>
      <c r="BJ35">
        <v>0</v>
      </c>
      <c r="BK35">
        <v>91</v>
      </c>
      <c r="BL35">
        <v>2.5309999999999999E-2</v>
      </c>
      <c r="BM35">
        <v>1.4670000000000001E-2</v>
      </c>
      <c r="BN35">
        <v>-1</v>
      </c>
      <c r="BO35">
        <v>3</v>
      </c>
      <c r="BP35">
        <v>1</v>
      </c>
      <c r="BQ35">
        <v>4.1999969999999998</v>
      </c>
      <c r="BR35">
        <v>175.21774300000001</v>
      </c>
      <c r="BS35">
        <v>49.798023000000001</v>
      </c>
      <c r="BT35">
        <v>1.7065E-2</v>
      </c>
      <c r="BU35">
        <v>78.014519000000007</v>
      </c>
      <c r="BV35">
        <v>4.8708260000000001</v>
      </c>
      <c r="BW35">
        <v>0.31378600000000001</v>
      </c>
      <c r="BX35">
        <v>0.51220500000000002</v>
      </c>
      <c r="BY35">
        <v>0.67517700000000003</v>
      </c>
      <c r="BZ35">
        <v>0.97566200000000003</v>
      </c>
      <c r="CA35">
        <v>2020</v>
      </c>
      <c r="CB35">
        <v>1</v>
      </c>
      <c r="CC35">
        <v>18</v>
      </c>
      <c r="CD35">
        <v>3</v>
      </c>
      <c r="CE35">
        <v>30</v>
      </c>
      <c r="CF35">
        <v>47.380001</v>
      </c>
      <c r="CG35">
        <v>2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7.5420000000000001E-3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</row>
    <row r="36" spans="1:105" x14ac:dyDescent="0.25">
      <c r="A36">
        <v>35</v>
      </c>
      <c r="B36" t="s">
        <v>157</v>
      </c>
      <c r="C36">
        <v>58866.165884000002</v>
      </c>
      <c r="D36">
        <v>297.22985799999998</v>
      </c>
      <c r="E36" s="3" t="s">
        <v>110</v>
      </c>
      <c r="F36" s="3" t="s">
        <v>111</v>
      </c>
      <c r="G36">
        <v>-1.851262</v>
      </c>
      <c r="H36">
        <v>136.01151999999999</v>
      </c>
      <c r="I36">
        <v>21.745795999999999</v>
      </c>
      <c r="J36">
        <v>134.705612</v>
      </c>
      <c r="K36">
        <v>20.458359000000002</v>
      </c>
      <c r="L36">
        <v>131.30935700000001</v>
      </c>
      <c r="M36">
        <v>3.2009400000000001</v>
      </c>
      <c r="N36">
        <v>32.409992000000003</v>
      </c>
      <c r="O36">
        <v>32.409992000000003</v>
      </c>
      <c r="P36">
        <v>30.602129000000001</v>
      </c>
      <c r="Q36">
        <v>37.349528999999997</v>
      </c>
      <c r="R36">
        <v>2.171306</v>
      </c>
      <c r="S36">
        <v>0.308008</v>
      </c>
      <c r="T36">
        <v>0.85814599999999996</v>
      </c>
      <c r="U36">
        <v>3.2007840000000001</v>
      </c>
      <c r="V36">
        <v>299.16705300000001</v>
      </c>
      <c r="W36">
        <v>297.229401</v>
      </c>
      <c r="X36">
        <v>4.2769430000000002</v>
      </c>
      <c r="Y36" t="s">
        <v>158</v>
      </c>
      <c r="Z36">
        <v>4.1618050000000002</v>
      </c>
      <c r="AA36">
        <v>8.1347339999999999</v>
      </c>
      <c r="AB36">
        <v>-1.7</v>
      </c>
      <c r="AC36">
        <v>18.765771999999998</v>
      </c>
      <c r="AD36">
        <v>1.1000000000000001</v>
      </c>
      <c r="AE36">
        <v>17.187000000000001</v>
      </c>
      <c r="AF36">
        <v>0</v>
      </c>
      <c r="AG36">
        <v>29.919751999999999</v>
      </c>
      <c r="AH36">
        <v>34.795321999999999</v>
      </c>
      <c r="AI36">
        <v>214.39837600000001</v>
      </c>
      <c r="AJ36">
        <v>32.553607999999997</v>
      </c>
      <c r="AK36">
        <v>220.568375</v>
      </c>
      <c r="AL36">
        <v>54.736877</v>
      </c>
      <c r="AM36">
        <v>65.949669</v>
      </c>
      <c r="AN36">
        <v>63.246014000000002</v>
      </c>
      <c r="AO36">
        <v>359.33367900000002</v>
      </c>
      <c r="AP36">
        <v>52.047798</v>
      </c>
      <c r="AQ36">
        <v>99.25676</v>
      </c>
      <c r="AR36">
        <v>110.757828</v>
      </c>
      <c r="AS36">
        <v>69.306099000000003</v>
      </c>
      <c r="AT36">
        <v>36.406486999999998</v>
      </c>
      <c r="AU36">
        <v>249.03294399999999</v>
      </c>
      <c r="AV36">
        <v>48.152377999999999</v>
      </c>
      <c r="AW36">
        <v>359.64166299999999</v>
      </c>
      <c r="AX36">
        <v>52.151978</v>
      </c>
      <c r="AY36">
        <v>73.305008000000001</v>
      </c>
      <c r="AZ36">
        <v>103.670609</v>
      </c>
      <c r="BA36">
        <v>88.071869000000007</v>
      </c>
      <c r="BB36">
        <v>39.352085000000002</v>
      </c>
      <c r="BC36">
        <v>35.650993</v>
      </c>
      <c r="BD36">
        <v>240.53779599999999</v>
      </c>
      <c r="BE36">
        <v>46.908810000000003</v>
      </c>
      <c r="BF36">
        <v>47.346648999999999</v>
      </c>
      <c r="BG36">
        <v>45.593533000000001</v>
      </c>
      <c r="BH36">
        <v>56</v>
      </c>
      <c r="BI36">
        <v>56</v>
      </c>
      <c r="BJ36">
        <v>0</v>
      </c>
      <c r="BK36">
        <v>32</v>
      </c>
      <c r="BL36">
        <v>2.5010000000000001E-2</v>
      </c>
      <c r="BM36">
        <v>3.0159999999999999E-2</v>
      </c>
      <c r="BN36">
        <v>-1</v>
      </c>
      <c r="BO36">
        <v>3</v>
      </c>
      <c r="BP36">
        <v>1</v>
      </c>
      <c r="BQ36">
        <v>1.7299949999999999</v>
      </c>
      <c r="BR36">
        <v>105.113434</v>
      </c>
      <c r="BS36">
        <v>39.378708000000003</v>
      </c>
      <c r="BT36">
        <v>6.0829999999999999E-3</v>
      </c>
      <c r="BU36">
        <v>91.093552000000003</v>
      </c>
      <c r="BV36">
        <v>1.0255989999999999</v>
      </c>
      <c r="BW36">
        <v>1.772494</v>
      </c>
      <c r="BX36">
        <v>0.21482200000000001</v>
      </c>
      <c r="BY36">
        <v>0.33879100000000001</v>
      </c>
      <c r="BZ36">
        <v>0.98571200000000003</v>
      </c>
      <c r="CA36">
        <v>2020</v>
      </c>
      <c r="CB36">
        <v>1</v>
      </c>
      <c r="CC36">
        <v>18</v>
      </c>
      <c r="CD36">
        <v>3</v>
      </c>
      <c r="CE36">
        <v>58</v>
      </c>
      <c r="CF36">
        <v>52.340004</v>
      </c>
      <c r="CG36">
        <v>2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0.46055200000000002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</row>
    <row r="37" spans="1:105" x14ac:dyDescent="0.25">
      <c r="A37">
        <v>36</v>
      </c>
      <c r="B37" t="s">
        <v>159</v>
      </c>
      <c r="C37">
        <v>58866.204626999999</v>
      </c>
      <c r="D37">
        <v>297.269318</v>
      </c>
      <c r="E37" s="3" t="s">
        <v>125</v>
      </c>
      <c r="F37" s="3" t="s">
        <v>122</v>
      </c>
      <c r="G37">
        <v>-1.244337</v>
      </c>
      <c r="H37">
        <v>174.729996</v>
      </c>
      <c r="I37">
        <v>13.742661</v>
      </c>
      <c r="J37">
        <v>174.39773600000001</v>
      </c>
      <c r="K37">
        <v>13.408564</v>
      </c>
      <c r="L37">
        <v>169.50382999999999</v>
      </c>
      <c r="M37">
        <v>10.078238000000001</v>
      </c>
      <c r="N37">
        <v>63.430584000000003</v>
      </c>
      <c r="O37">
        <v>63.430584000000003</v>
      </c>
      <c r="P37">
        <v>62.510154999999997</v>
      </c>
      <c r="Q37">
        <v>43.220363999999996</v>
      </c>
      <c r="R37">
        <v>-13.764759</v>
      </c>
      <c r="S37">
        <v>0.24729400000000001</v>
      </c>
      <c r="T37">
        <v>1.0179659999999999</v>
      </c>
      <c r="U37">
        <v>0</v>
      </c>
      <c r="V37">
        <v>298.94921900000003</v>
      </c>
      <c r="W37">
        <v>297.26934799999998</v>
      </c>
      <c r="X37">
        <v>149.24142499999999</v>
      </c>
      <c r="Y37" t="s">
        <v>114</v>
      </c>
      <c r="Z37">
        <v>-1</v>
      </c>
      <c r="AA37">
        <v>-1</v>
      </c>
      <c r="AB37">
        <v>-0.4</v>
      </c>
      <c r="AC37">
        <v>2.029433</v>
      </c>
      <c r="AD37">
        <v>0.1</v>
      </c>
      <c r="AE37">
        <v>19.511998999999999</v>
      </c>
      <c r="AF37">
        <v>0</v>
      </c>
      <c r="AG37">
        <v>103.53990899999999</v>
      </c>
      <c r="AH37">
        <v>-52.819682999999998</v>
      </c>
      <c r="AI37">
        <v>250.92913799999999</v>
      </c>
      <c r="AJ37">
        <v>12.215529999999999</v>
      </c>
      <c r="AK37">
        <v>118.972679</v>
      </c>
      <c r="AL37">
        <v>36.172443000000001</v>
      </c>
      <c r="AM37">
        <v>281.02377300000001</v>
      </c>
      <c r="AN37">
        <v>39.286976000000003</v>
      </c>
      <c r="AO37">
        <v>-2.9486880000000002</v>
      </c>
      <c r="AP37">
        <v>52.059108999999999</v>
      </c>
      <c r="AQ37">
        <v>95.332381999999996</v>
      </c>
      <c r="AR37">
        <v>149.32397499999999</v>
      </c>
      <c r="AS37">
        <v>54.447749999999999</v>
      </c>
      <c r="AT37">
        <v>31.274018999999999</v>
      </c>
      <c r="AU37">
        <v>116.481522</v>
      </c>
      <c r="AV37">
        <v>36.473042</v>
      </c>
      <c r="AW37">
        <v>-2.9286479999999999</v>
      </c>
      <c r="AX37">
        <v>52.092697000000001</v>
      </c>
      <c r="AY37">
        <v>90.454780999999997</v>
      </c>
      <c r="AZ37">
        <v>145.72723400000001</v>
      </c>
      <c r="BA37">
        <v>56.477179999999997</v>
      </c>
      <c r="BB37">
        <v>32.136929000000002</v>
      </c>
      <c r="BC37">
        <v>6.3430590000000002</v>
      </c>
      <c r="BD37">
        <v>199.676468</v>
      </c>
      <c r="BE37">
        <v>50.221905</v>
      </c>
      <c r="BF37">
        <v>50.042507000000001</v>
      </c>
      <c r="BG37">
        <v>49.640354000000002</v>
      </c>
      <c r="BH37">
        <v>6</v>
      </c>
      <c r="BI37">
        <v>6</v>
      </c>
      <c r="BJ37">
        <v>0</v>
      </c>
      <c r="BK37">
        <v>30</v>
      </c>
      <c r="BL37">
        <v>2.8469999999999999E-2</v>
      </c>
      <c r="BM37">
        <v>1.6129999999999999E-2</v>
      </c>
      <c r="BN37">
        <v>-1</v>
      </c>
      <c r="BO37">
        <v>3</v>
      </c>
      <c r="BP37">
        <v>1</v>
      </c>
      <c r="BQ37">
        <v>3.0003999999999999E-2</v>
      </c>
      <c r="BR37">
        <v>98.432700999999994</v>
      </c>
      <c r="BS37">
        <v>39.648696999999999</v>
      </c>
      <c r="BT37">
        <v>1.0399999999999999E-4</v>
      </c>
      <c r="BU37">
        <v>69.573006000000007</v>
      </c>
      <c r="BV37">
        <v>10.792524</v>
      </c>
      <c r="BW37">
        <v>0.46468799999999999</v>
      </c>
      <c r="BX37">
        <v>1.5288839999999999</v>
      </c>
      <c r="BY37">
        <v>2.8741430000000001</v>
      </c>
      <c r="BZ37">
        <v>0.82822700000000005</v>
      </c>
      <c r="CA37">
        <v>2020</v>
      </c>
      <c r="CB37">
        <v>1</v>
      </c>
      <c r="CC37">
        <v>18</v>
      </c>
      <c r="CD37">
        <v>4</v>
      </c>
      <c r="CE37">
        <v>54</v>
      </c>
      <c r="CF37">
        <v>39.809998</v>
      </c>
      <c r="CG37">
        <v>2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-7.2649000000000005E-2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</row>
    <row r="38" spans="1:105" x14ac:dyDescent="0.25">
      <c r="A38">
        <v>37</v>
      </c>
      <c r="B38" t="s">
        <v>160</v>
      </c>
      <c r="C38">
        <v>58866.23158</v>
      </c>
      <c r="D38">
        <v>297.29675300000002</v>
      </c>
      <c r="E38" s="3" t="s">
        <v>110</v>
      </c>
      <c r="F38" s="3" t="s">
        <v>111</v>
      </c>
      <c r="G38">
        <v>-0.80952400000000002</v>
      </c>
      <c r="H38">
        <v>191.83749399999999</v>
      </c>
      <c r="I38">
        <v>19.885135999999999</v>
      </c>
      <c r="J38">
        <v>191.534592</v>
      </c>
      <c r="K38">
        <v>19.638704000000001</v>
      </c>
      <c r="L38">
        <v>182.42726099999999</v>
      </c>
      <c r="M38">
        <v>22.536097999999999</v>
      </c>
      <c r="N38">
        <v>66.679908999999995</v>
      </c>
      <c r="O38">
        <v>66.679908999999995</v>
      </c>
      <c r="P38">
        <v>65.771584000000004</v>
      </c>
      <c r="Q38">
        <v>43.569961999999997</v>
      </c>
      <c r="R38">
        <v>-9.3583970000000001</v>
      </c>
      <c r="S38">
        <v>0.65993100000000005</v>
      </c>
      <c r="T38">
        <v>1.0705180000000001</v>
      </c>
      <c r="U38">
        <v>0</v>
      </c>
      <c r="V38">
        <v>248.69482400000001</v>
      </c>
      <c r="W38">
        <v>297.296783</v>
      </c>
      <c r="X38">
        <v>134.581436</v>
      </c>
      <c r="Y38" t="s">
        <v>114</v>
      </c>
      <c r="Z38">
        <v>-1</v>
      </c>
      <c r="AA38">
        <v>-1</v>
      </c>
      <c r="AB38">
        <v>-0.4</v>
      </c>
      <c r="AC38">
        <v>3.831655</v>
      </c>
      <c r="AD38">
        <v>0.16</v>
      </c>
      <c r="AE38">
        <v>23.870000999999998</v>
      </c>
      <c r="AF38">
        <v>0</v>
      </c>
      <c r="AG38">
        <v>79.153144999999995</v>
      </c>
      <c r="AH38">
        <v>46.835678000000001</v>
      </c>
      <c r="AI38">
        <v>258.09936499999998</v>
      </c>
      <c r="AJ38">
        <v>8.8852899999999995</v>
      </c>
      <c r="AK38">
        <v>241.69612100000001</v>
      </c>
      <c r="AL38">
        <v>41.818812999999999</v>
      </c>
      <c r="AM38">
        <v>92.242217999999994</v>
      </c>
      <c r="AN38">
        <v>59.584026000000001</v>
      </c>
      <c r="AO38">
        <v>-0.423406</v>
      </c>
      <c r="AP38">
        <v>51.844119999999997</v>
      </c>
      <c r="AQ38">
        <v>107.667023</v>
      </c>
      <c r="AR38">
        <v>124.243782</v>
      </c>
      <c r="AS38">
        <v>47.265835000000003</v>
      </c>
      <c r="AT38">
        <v>25.347929000000001</v>
      </c>
      <c r="AU38">
        <v>246.78491199999999</v>
      </c>
      <c r="AV38">
        <v>42.493546000000002</v>
      </c>
      <c r="AW38">
        <v>-0.40290300000000001</v>
      </c>
      <c r="AX38">
        <v>51.893120000000003</v>
      </c>
      <c r="AY38">
        <v>98.681113999999994</v>
      </c>
      <c r="AZ38">
        <v>117.26609000000001</v>
      </c>
      <c r="BA38">
        <v>51.097487999999998</v>
      </c>
      <c r="BB38">
        <v>26.974126999999999</v>
      </c>
      <c r="BC38">
        <v>10.668785</v>
      </c>
      <c r="BD38">
        <v>193.98007200000001</v>
      </c>
      <c r="BE38">
        <v>57.331566000000002</v>
      </c>
      <c r="BF38">
        <v>57.435631000000001</v>
      </c>
      <c r="BG38">
        <v>57.150696000000003</v>
      </c>
      <c r="BH38">
        <v>9</v>
      </c>
      <c r="BI38">
        <v>9</v>
      </c>
      <c r="BJ38">
        <v>0</v>
      </c>
      <c r="BK38">
        <v>33</v>
      </c>
      <c r="BL38">
        <v>3.2280000000000003E-2</v>
      </c>
      <c r="BM38">
        <v>1.329E-2</v>
      </c>
      <c r="BN38">
        <v>-1</v>
      </c>
      <c r="BO38">
        <v>3</v>
      </c>
      <c r="BP38">
        <v>1</v>
      </c>
      <c r="BQ38">
        <v>1.8400019999999999</v>
      </c>
      <c r="BR38">
        <v>105.113434</v>
      </c>
      <c r="BS38">
        <v>35.651707000000002</v>
      </c>
      <c r="BT38">
        <v>7.5680000000000001E-3</v>
      </c>
      <c r="BU38">
        <v>45.602474000000001</v>
      </c>
      <c r="BV38">
        <v>1.475419</v>
      </c>
      <c r="BW38">
        <v>0.37681399999999998</v>
      </c>
      <c r="BX38">
        <v>0.839916</v>
      </c>
      <c r="BY38">
        <v>1.8517159999999999</v>
      </c>
      <c r="BZ38">
        <v>0.6089</v>
      </c>
      <c r="CA38">
        <v>2020</v>
      </c>
      <c r="CB38">
        <v>1</v>
      </c>
      <c r="CC38">
        <v>18</v>
      </c>
      <c r="CD38">
        <v>5</v>
      </c>
      <c r="CE38">
        <v>33</v>
      </c>
      <c r="CF38">
        <v>28.469999000000001</v>
      </c>
      <c r="CG38">
        <v>2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-0.10685600000000001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</row>
    <row r="39" spans="1:105" x14ac:dyDescent="0.25">
      <c r="A39">
        <v>38</v>
      </c>
      <c r="B39" t="s">
        <v>161</v>
      </c>
      <c r="C39">
        <v>58866.272517999998</v>
      </c>
      <c r="D39">
        <v>297.33843999999999</v>
      </c>
      <c r="E39" s="3" t="s">
        <v>110</v>
      </c>
      <c r="F39" s="3" t="s">
        <v>111</v>
      </c>
      <c r="G39">
        <v>-2.3976410000000001</v>
      </c>
      <c r="H39">
        <v>188.31504799999999</v>
      </c>
      <c r="I39">
        <v>19.171555000000001</v>
      </c>
      <c r="J39">
        <v>187.942307</v>
      </c>
      <c r="K39">
        <v>18.869738000000002</v>
      </c>
      <c r="L39">
        <v>179.46984900000001</v>
      </c>
      <c r="M39">
        <v>20.410238</v>
      </c>
      <c r="N39">
        <v>66.004265000000004</v>
      </c>
      <c r="O39">
        <v>66.004265000000004</v>
      </c>
      <c r="P39">
        <v>65.170135000000002</v>
      </c>
      <c r="Q39">
        <v>43.435245999999999</v>
      </c>
      <c r="R39">
        <v>-10.678029</v>
      </c>
      <c r="S39">
        <v>0.573268</v>
      </c>
      <c r="T39">
        <v>1.053687</v>
      </c>
      <c r="U39">
        <v>0</v>
      </c>
      <c r="V39">
        <v>259.23855600000002</v>
      </c>
      <c r="W39">
        <v>297.33846999999997</v>
      </c>
      <c r="X39">
        <v>136.226089</v>
      </c>
      <c r="Y39" t="s">
        <v>162</v>
      </c>
      <c r="Z39">
        <v>3.8480810000000001</v>
      </c>
      <c r="AA39">
        <v>1.98769</v>
      </c>
      <c r="AB39">
        <v>-1.8</v>
      </c>
      <c r="AC39">
        <v>8.4029880000000006</v>
      </c>
      <c r="AD39">
        <v>0.3</v>
      </c>
      <c r="AE39">
        <v>27.638000000000002</v>
      </c>
      <c r="AF39">
        <v>0</v>
      </c>
      <c r="AG39">
        <v>88.911186000000001</v>
      </c>
      <c r="AH39">
        <v>25.171194</v>
      </c>
      <c r="AI39">
        <v>234.072632</v>
      </c>
      <c r="AJ39">
        <v>24.056414</v>
      </c>
      <c r="AK39">
        <v>278.46115099999997</v>
      </c>
      <c r="AL39">
        <v>64.519645999999995</v>
      </c>
      <c r="AM39">
        <v>43.285248000000003</v>
      </c>
      <c r="AN39">
        <v>55.512596000000002</v>
      </c>
      <c r="AO39">
        <v>-0.56642000000000003</v>
      </c>
      <c r="AP39">
        <v>52.354636999999997</v>
      </c>
      <c r="AQ39">
        <v>110.90418200000001</v>
      </c>
      <c r="AR39">
        <v>133.91253699999999</v>
      </c>
      <c r="AS39">
        <v>72.817322000000004</v>
      </c>
      <c r="AT39">
        <v>24.550370999999998</v>
      </c>
      <c r="AU39">
        <v>296.43338</v>
      </c>
      <c r="AV39">
        <v>62.079971</v>
      </c>
      <c r="AW39">
        <v>-0.44606899999999999</v>
      </c>
      <c r="AX39">
        <v>52.436442999999997</v>
      </c>
      <c r="AY39">
        <v>95.532157999999995</v>
      </c>
      <c r="AZ39">
        <v>129.45256000000001</v>
      </c>
      <c r="BA39">
        <v>81.220305999999994</v>
      </c>
      <c r="BB39">
        <v>25.455368</v>
      </c>
      <c r="BC39">
        <v>19.801280999999999</v>
      </c>
      <c r="BD39">
        <v>221.369812</v>
      </c>
      <c r="BE39">
        <v>50.978797999999998</v>
      </c>
      <c r="BF39">
        <v>51.649363999999998</v>
      </c>
      <c r="BG39">
        <v>51.225848999999997</v>
      </c>
      <c r="BH39">
        <v>16</v>
      </c>
      <c r="BI39">
        <v>16</v>
      </c>
      <c r="BJ39">
        <v>0</v>
      </c>
      <c r="BK39">
        <v>40</v>
      </c>
      <c r="BL39">
        <v>2.981E-2</v>
      </c>
      <c r="BM39">
        <v>1.388E-2</v>
      </c>
      <c r="BN39">
        <v>-1</v>
      </c>
      <c r="BO39">
        <v>3</v>
      </c>
      <c r="BP39">
        <v>1</v>
      </c>
      <c r="BQ39">
        <v>2.0300029999999998</v>
      </c>
      <c r="BR39">
        <v>105.113434</v>
      </c>
      <c r="BS39">
        <v>25.779177000000001</v>
      </c>
      <c r="BT39">
        <v>7.7330000000000003E-3</v>
      </c>
      <c r="BU39">
        <v>64.350800000000007</v>
      </c>
      <c r="BV39">
        <v>1.8612979999999999</v>
      </c>
      <c r="BW39">
        <v>0.463974</v>
      </c>
      <c r="BX39">
        <v>0.73964099999999999</v>
      </c>
      <c r="BY39">
        <v>1.7208639999999999</v>
      </c>
      <c r="BZ39">
        <v>0.69090799999999997</v>
      </c>
      <c r="CA39">
        <v>2020</v>
      </c>
      <c r="CB39">
        <v>1</v>
      </c>
      <c r="CC39">
        <v>18</v>
      </c>
      <c r="CD39">
        <v>6</v>
      </c>
      <c r="CE39">
        <v>32</v>
      </c>
      <c r="CF39">
        <v>25.549999</v>
      </c>
      <c r="CG39">
        <v>2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-9.3649999999999997E-2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</row>
    <row r="40" spans="1:105" x14ac:dyDescent="0.25">
      <c r="A40">
        <v>39</v>
      </c>
      <c r="B40" t="s">
        <v>163</v>
      </c>
      <c r="C40">
        <v>58866.962753</v>
      </c>
      <c r="D40">
        <v>298.04132099999998</v>
      </c>
      <c r="E40" s="3" t="s">
        <v>107</v>
      </c>
      <c r="F40" s="3" t="s">
        <v>106</v>
      </c>
      <c r="G40">
        <v>-0.38456800000000002</v>
      </c>
      <c r="H40">
        <v>179.35711699999999</v>
      </c>
      <c r="I40">
        <v>43.609253000000002</v>
      </c>
      <c r="J40">
        <v>179.881134</v>
      </c>
      <c r="K40">
        <v>43.473014999999997</v>
      </c>
      <c r="L40">
        <v>159.24404899999999</v>
      </c>
      <c r="M40">
        <v>39.098328000000002</v>
      </c>
      <c r="N40">
        <v>55.843429999999998</v>
      </c>
      <c r="O40">
        <v>55.843429999999998</v>
      </c>
      <c r="P40">
        <v>54.500267000000001</v>
      </c>
      <c r="Q40">
        <v>46.806365999999997</v>
      </c>
      <c r="R40">
        <v>-2.2899790000000002</v>
      </c>
      <c r="S40">
        <v>0.57532799999999995</v>
      </c>
      <c r="T40">
        <v>1.2512369999999999</v>
      </c>
      <c r="U40">
        <v>0</v>
      </c>
      <c r="V40">
        <v>255.34762599999999</v>
      </c>
      <c r="W40">
        <v>298.04132099999998</v>
      </c>
      <c r="X40">
        <v>85.983894000000006</v>
      </c>
      <c r="Y40" t="s">
        <v>114</v>
      </c>
      <c r="Z40">
        <v>-1</v>
      </c>
      <c r="AA40">
        <v>-1</v>
      </c>
      <c r="AB40">
        <v>-0.1</v>
      </c>
      <c r="AC40">
        <v>4.810384</v>
      </c>
      <c r="AD40">
        <v>0.28000000000000003</v>
      </c>
      <c r="AE40">
        <v>17.177</v>
      </c>
      <c r="AF40">
        <v>0</v>
      </c>
      <c r="AG40">
        <v>103.65954600000001</v>
      </c>
      <c r="AH40">
        <v>-14.538459</v>
      </c>
      <c r="AI40">
        <v>26.992031000000001</v>
      </c>
      <c r="AJ40">
        <v>-34.931919000000001</v>
      </c>
      <c r="AK40">
        <v>136.581253</v>
      </c>
      <c r="AL40">
        <v>72.831657000000007</v>
      </c>
      <c r="AM40">
        <v>22.523306000000002</v>
      </c>
      <c r="AN40">
        <v>63.013869999999997</v>
      </c>
      <c r="AO40">
        <v>357.06933600000002</v>
      </c>
      <c r="AP40">
        <v>51.136051000000002</v>
      </c>
      <c r="AQ40">
        <v>107.50206</v>
      </c>
      <c r="AR40">
        <v>120.19104</v>
      </c>
      <c r="AS40">
        <v>35.325240999999998</v>
      </c>
      <c r="AT40">
        <v>4.1730429999999998</v>
      </c>
      <c r="AU40">
        <v>120.779167</v>
      </c>
      <c r="AV40">
        <v>74.817977999999997</v>
      </c>
      <c r="AW40">
        <v>356.91372699999999</v>
      </c>
      <c r="AX40">
        <v>51.092148000000002</v>
      </c>
      <c r="AY40">
        <v>97.623322000000002</v>
      </c>
      <c r="AZ40">
        <v>107.813507</v>
      </c>
      <c r="BA40">
        <v>40.135627999999997</v>
      </c>
      <c r="BB40">
        <v>4.6531310000000001</v>
      </c>
      <c r="BC40">
        <v>15.636161</v>
      </c>
      <c r="BD40">
        <v>66.024078000000003</v>
      </c>
      <c r="BE40">
        <v>39.020508</v>
      </c>
      <c r="BF40">
        <v>38.670760999999999</v>
      </c>
      <c r="BG40">
        <v>38.286427000000003</v>
      </c>
      <c r="BH40">
        <v>15</v>
      </c>
      <c r="BI40">
        <v>14</v>
      </c>
      <c r="BJ40">
        <v>6.6666670000000003</v>
      </c>
      <c r="BK40">
        <v>0</v>
      </c>
      <c r="BL40">
        <v>0.1</v>
      </c>
      <c r="BM40">
        <v>1.056E-2</v>
      </c>
      <c r="BN40">
        <v>-1</v>
      </c>
      <c r="BO40">
        <v>3</v>
      </c>
      <c r="BP40">
        <v>1</v>
      </c>
      <c r="BQ40">
        <v>0.119995</v>
      </c>
      <c r="BR40">
        <v>156.88954200000001</v>
      </c>
      <c r="BS40">
        <v>7.2298840000000002</v>
      </c>
      <c r="BT40">
        <v>4.66E-4</v>
      </c>
      <c r="BU40">
        <v>59.541924000000002</v>
      </c>
      <c r="BV40">
        <v>3.2386569999999999</v>
      </c>
      <c r="BW40">
        <v>0.40354200000000001</v>
      </c>
      <c r="BX40">
        <v>6.8104769999999997</v>
      </c>
      <c r="BY40">
        <v>83.952270999999996</v>
      </c>
      <c r="BZ40">
        <v>1.9165000000000001E-2</v>
      </c>
      <c r="CA40">
        <v>2020</v>
      </c>
      <c r="CB40">
        <v>1</v>
      </c>
      <c r="CC40">
        <v>18</v>
      </c>
      <c r="CD40">
        <v>23</v>
      </c>
      <c r="CE40">
        <v>6</v>
      </c>
      <c r="CF40">
        <v>21.850003999999998</v>
      </c>
      <c r="CG40">
        <v>2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-0.43668499999999999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25">
      <c r="A41">
        <v>40</v>
      </c>
      <c r="B41" t="s">
        <v>164</v>
      </c>
      <c r="C41">
        <v>58866.986453999998</v>
      </c>
      <c r="D41">
        <v>298.06545999999997</v>
      </c>
      <c r="E41" s="3" t="s">
        <v>110</v>
      </c>
      <c r="F41" s="3" t="s">
        <v>111</v>
      </c>
      <c r="G41">
        <v>-0.49021700000000001</v>
      </c>
      <c r="H41">
        <v>172.03230300000001</v>
      </c>
      <c r="I41">
        <v>35.724460999999998</v>
      </c>
      <c r="J41">
        <v>172.15358000000001</v>
      </c>
      <c r="K41">
        <v>35.656269000000002</v>
      </c>
      <c r="L41">
        <v>157.487076</v>
      </c>
      <c r="M41">
        <v>29.387362</v>
      </c>
      <c r="N41">
        <v>72.343681000000004</v>
      </c>
      <c r="O41">
        <v>72.343681000000004</v>
      </c>
      <c r="P41">
        <v>71.269852</v>
      </c>
      <c r="Q41">
        <v>59.955345000000001</v>
      </c>
      <c r="R41">
        <v>-0.49526799999999999</v>
      </c>
      <c r="S41">
        <v>0.48019099999999998</v>
      </c>
      <c r="T41">
        <v>1.969557</v>
      </c>
      <c r="U41">
        <v>0</v>
      </c>
      <c r="V41">
        <v>256.81030299999998</v>
      </c>
      <c r="W41">
        <v>298.06545999999997</v>
      </c>
      <c r="X41">
        <v>104.67714700000001</v>
      </c>
      <c r="Y41" t="s">
        <v>114</v>
      </c>
      <c r="Z41">
        <v>-1</v>
      </c>
      <c r="AA41">
        <v>-1</v>
      </c>
      <c r="AB41">
        <v>0.5</v>
      </c>
      <c r="AC41">
        <v>0.79379699999999997</v>
      </c>
      <c r="AD41">
        <v>0.14000000000000001</v>
      </c>
      <c r="AE41">
        <v>5.9269999999999996</v>
      </c>
      <c r="AF41">
        <v>0</v>
      </c>
      <c r="AG41">
        <v>48.293438000000002</v>
      </c>
      <c r="AH41">
        <v>37.676651</v>
      </c>
      <c r="AI41">
        <v>3.1522779999999999</v>
      </c>
      <c r="AJ41">
        <v>-37.745654999999999</v>
      </c>
      <c r="AK41">
        <v>184.470947</v>
      </c>
      <c r="AL41">
        <v>43.054152999999999</v>
      </c>
      <c r="AM41">
        <v>70.140839</v>
      </c>
      <c r="AN41">
        <v>41.878833999999998</v>
      </c>
      <c r="AO41">
        <v>0.31739699999999998</v>
      </c>
      <c r="AP41">
        <v>52.220379000000001</v>
      </c>
      <c r="AQ41">
        <v>110.26911200000001</v>
      </c>
      <c r="AR41">
        <v>162.72169500000001</v>
      </c>
      <c r="AS41">
        <v>12.066928000000001</v>
      </c>
      <c r="AT41">
        <v>2.229924</v>
      </c>
      <c r="AU41">
        <v>185.38609299999999</v>
      </c>
      <c r="AV41">
        <v>43.485554</v>
      </c>
      <c r="AW41">
        <v>0.21619099999999999</v>
      </c>
      <c r="AX41">
        <v>52.217911000000001</v>
      </c>
      <c r="AY41">
        <v>102.98505400000001</v>
      </c>
      <c r="AZ41">
        <v>152.832031</v>
      </c>
      <c r="BA41">
        <v>12.860725</v>
      </c>
      <c r="BB41">
        <v>2.374301</v>
      </c>
      <c r="BC41">
        <v>10.128116</v>
      </c>
      <c r="BD41">
        <v>87.871718999999999</v>
      </c>
      <c r="BE41">
        <v>45.782043000000002</v>
      </c>
      <c r="BF41">
        <v>44.760249999999999</v>
      </c>
      <c r="BG41">
        <v>44.641120999999998</v>
      </c>
      <c r="BH41">
        <v>8</v>
      </c>
      <c r="BI41">
        <v>8</v>
      </c>
      <c r="BJ41">
        <v>0</v>
      </c>
      <c r="BK41">
        <v>22</v>
      </c>
      <c r="BL41">
        <v>1.89E-2</v>
      </c>
      <c r="BM41">
        <v>2.0500000000000001E-2</v>
      </c>
      <c r="BN41">
        <v>-1</v>
      </c>
      <c r="BO41">
        <v>3</v>
      </c>
      <c r="BP41">
        <v>1</v>
      </c>
      <c r="BQ41">
        <v>1.160002</v>
      </c>
      <c r="BR41">
        <v>105.113434</v>
      </c>
      <c r="BS41">
        <v>10.726592999999999</v>
      </c>
      <c r="BT41">
        <v>3.4919999999999999E-3</v>
      </c>
      <c r="BU41">
        <v>-60.527766999999997</v>
      </c>
      <c r="BV41">
        <v>24.486066999999998</v>
      </c>
      <c r="BW41">
        <v>0.1198</v>
      </c>
      <c r="BX41">
        <v>2.276106</v>
      </c>
      <c r="BY41">
        <v>54.941898000000002</v>
      </c>
      <c r="BZ41">
        <v>5.3530000000000001E-3</v>
      </c>
      <c r="CA41">
        <v>2020</v>
      </c>
      <c r="CB41">
        <v>1</v>
      </c>
      <c r="CC41">
        <v>18</v>
      </c>
      <c r="CD41">
        <v>23</v>
      </c>
      <c r="CE41">
        <v>40</v>
      </c>
      <c r="CF41">
        <v>29.619997000000001</v>
      </c>
      <c r="CG41">
        <v>2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-2.0191080000000001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</row>
    <row r="42" spans="1:105" x14ac:dyDescent="0.25">
      <c r="A42">
        <v>41</v>
      </c>
      <c r="B42" t="s">
        <v>166</v>
      </c>
      <c r="C42">
        <v>58866.994034000003</v>
      </c>
      <c r="D42">
        <v>298.07318099999998</v>
      </c>
      <c r="E42" s="3" t="s">
        <v>125</v>
      </c>
      <c r="F42" s="3" t="s">
        <v>122</v>
      </c>
      <c r="G42">
        <v>-1.665235</v>
      </c>
      <c r="H42">
        <v>171.37399300000001</v>
      </c>
      <c r="I42">
        <v>35.325920000000004</v>
      </c>
      <c r="J42">
        <v>171.850281</v>
      </c>
      <c r="K42">
        <v>34.977218999999998</v>
      </c>
      <c r="L42">
        <v>157.58422899999999</v>
      </c>
      <c r="M42">
        <v>28.669630000000002</v>
      </c>
      <c r="N42">
        <v>43.163089999999997</v>
      </c>
      <c r="O42">
        <v>43.163089999999997</v>
      </c>
      <c r="P42">
        <v>41.487319999999997</v>
      </c>
      <c r="Q42">
        <v>35.035941999999999</v>
      </c>
      <c r="R42">
        <v>1.5403709999999999</v>
      </c>
      <c r="S42">
        <v>0.26682800000000001</v>
      </c>
      <c r="T42">
        <v>0.82677699999999998</v>
      </c>
      <c r="U42">
        <v>1.91255</v>
      </c>
      <c r="V42">
        <v>307.60821499999997</v>
      </c>
      <c r="W42">
        <v>298.073151</v>
      </c>
      <c r="X42">
        <v>70.328772999999998</v>
      </c>
      <c r="Y42" t="s">
        <v>165</v>
      </c>
      <c r="Z42">
        <v>2.92577</v>
      </c>
      <c r="AA42">
        <v>3.3072879999999998</v>
      </c>
      <c r="AB42">
        <v>-1</v>
      </c>
      <c r="AC42">
        <v>5.8132200000000003</v>
      </c>
      <c r="AD42">
        <v>0.32</v>
      </c>
      <c r="AE42">
        <v>18.173999999999999</v>
      </c>
      <c r="AF42">
        <v>0</v>
      </c>
      <c r="AG42">
        <v>92.675704999999994</v>
      </c>
      <c r="AH42">
        <v>-15.457224</v>
      </c>
      <c r="AI42">
        <v>358.90490699999998</v>
      </c>
      <c r="AJ42">
        <v>-37.534095999999998</v>
      </c>
      <c r="AK42">
        <v>27.571756000000001</v>
      </c>
      <c r="AL42">
        <v>56.700671999999997</v>
      </c>
      <c r="AM42">
        <v>311.89453099999997</v>
      </c>
      <c r="AN42">
        <v>42.757919000000001</v>
      </c>
      <c r="AO42">
        <v>357.59957900000001</v>
      </c>
      <c r="AP42">
        <v>52.458720999999997</v>
      </c>
      <c r="AQ42">
        <v>93.049048999999997</v>
      </c>
      <c r="AR42">
        <v>136.339294</v>
      </c>
      <c r="AS42">
        <v>83.002814999999998</v>
      </c>
      <c r="AT42">
        <v>43.521563999999998</v>
      </c>
      <c r="AU42">
        <v>23.038855000000002</v>
      </c>
      <c r="AV42">
        <v>51.526878000000004</v>
      </c>
      <c r="AW42">
        <v>357.46072400000003</v>
      </c>
      <c r="AX42">
        <v>52.457110999999998</v>
      </c>
      <c r="AY42">
        <v>83.091209000000006</v>
      </c>
      <c r="AZ42">
        <v>135.35275300000001</v>
      </c>
      <c r="BA42">
        <v>88.816032000000007</v>
      </c>
      <c r="BB42">
        <v>43.919476000000003</v>
      </c>
      <c r="BC42">
        <v>13.812188000000001</v>
      </c>
      <c r="BD42">
        <v>89.069817</v>
      </c>
      <c r="BE42">
        <v>45.937610999999997</v>
      </c>
      <c r="BF42">
        <v>46.593902999999997</v>
      </c>
      <c r="BG42">
        <v>46.071224000000001</v>
      </c>
      <c r="BH42">
        <v>17</v>
      </c>
      <c r="BI42">
        <v>17</v>
      </c>
      <c r="BJ42">
        <v>0</v>
      </c>
      <c r="BK42">
        <v>41</v>
      </c>
      <c r="BL42">
        <v>2.4299999999999999E-2</v>
      </c>
      <c r="BM42">
        <v>9.6699999999999998E-3</v>
      </c>
      <c r="BN42">
        <v>-1</v>
      </c>
      <c r="BO42">
        <v>3</v>
      </c>
      <c r="BP42">
        <v>1</v>
      </c>
      <c r="BQ42">
        <v>0.11000699999999999</v>
      </c>
      <c r="BR42">
        <v>98.432700999999994</v>
      </c>
      <c r="BS42">
        <v>43.931258999999997</v>
      </c>
      <c r="BT42">
        <v>3.8699999999999997E-4</v>
      </c>
      <c r="BU42">
        <v>74.418059999999997</v>
      </c>
      <c r="BV42">
        <v>4.226801</v>
      </c>
      <c r="BW42">
        <v>0.522729</v>
      </c>
      <c r="BX42">
        <v>0.58676499999999998</v>
      </c>
      <c r="BY42">
        <v>0.84591400000000005</v>
      </c>
      <c r="BZ42">
        <v>0.97056200000000004</v>
      </c>
      <c r="CA42">
        <v>2020</v>
      </c>
      <c r="CB42">
        <v>1</v>
      </c>
      <c r="CC42">
        <v>18</v>
      </c>
      <c r="CD42">
        <v>23</v>
      </c>
      <c r="CE42">
        <v>51</v>
      </c>
      <c r="CF42">
        <v>24.559998</v>
      </c>
      <c r="CG42">
        <v>2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0.64919400000000005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25">
      <c r="A43">
        <v>42</v>
      </c>
      <c r="B43" t="s">
        <v>167</v>
      </c>
      <c r="C43">
        <v>58867.053050000002</v>
      </c>
      <c r="D43">
        <v>298.13326999999998</v>
      </c>
      <c r="E43" s="3" t="s">
        <v>154</v>
      </c>
      <c r="F43" s="3" t="s">
        <v>153</v>
      </c>
      <c r="G43">
        <v>-0.70502299999999996</v>
      </c>
      <c r="H43">
        <v>198.36816400000001</v>
      </c>
      <c r="I43">
        <v>-17.727345</v>
      </c>
      <c r="J43">
        <v>198.63098099999999</v>
      </c>
      <c r="K43">
        <v>-18.318238999999998</v>
      </c>
      <c r="L43">
        <v>204.14604199999999</v>
      </c>
      <c r="M43">
        <v>-9.6563999999999997</v>
      </c>
      <c r="N43">
        <v>72.565101999999996</v>
      </c>
      <c r="O43">
        <v>72.565101999999996</v>
      </c>
      <c r="P43">
        <v>71.448661999999999</v>
      </c>
      <c r="Q43">
        <v>42.018906000000001</v>
      </c>
      <c r="R43">
        <v>23.445356</v>
      </c>
      <c r="S43">
        <v>0.97094899999999995</v>
      </c>
      <c r="T43">
        <v>0.95858699999999997</v>
      </c>
      <c r="U43">
        <v>113.56905399999999</v>
      </c>
      <c r="V43">
        <v>13.27993</v>
      </c>
      <c r="W43">
        <v>118.133224</v>
      </c>
      <c r="X43">
        <v>163.31639100000001</v>
      </c>
      <c r="Y43" t="s">
        <v>114</v>
      </c>
      <c r="Z43">
        <v>-1</v>
      </c>
      <c r="AA43">
        <v>-1</v>
      </c>
      <c r="AB43">
        <v>1.3</v>
      </c>
      <c r="AC43">
        <v>6.8664560000000003</v>
      </c>
      <c r="AD43">
        <v>1.04</v>
      </c>
      <c r="AE43">
        <v>6.4290000000000003</v>
      </c>
      <c r="AF43">
        <v>0</v>
      </c>
      <c r="AG43">
        <v>274.09021000000001</v>
      </c>
      <c r="AH43">
        <v>37.650557999999997</v>
      </c>
      <c r="AI43">
        <v>319.65457199999997</v>
      </c>
      <c r="AJ43">
        <v>-32.215305000000001</v>
      </c>
      <c r="AK43">
        <v>185.617493</v>
      </c>
      <c r="AL43">
        <v>-1.9785870000000001</v>
      </c>
      <c r="AM43">
        <v>124.386589</v>
      </c>
      <c r="AN43">
        <v>22.177465000000002</v>
      </c>
      <c r="AO43">
        <v>1.9434260000000001</v>
      </c>
      <c r="AP43">
        <v>49.576656</v>
      </c>
      <c r="AQ43">
        <v>114.724503</v>
      </c>
      <c r="AR43">
        <v>286.423248</v>
      </c>
      <c r="AS43">
        <v>20.118071</v>
      </c>
      <c r="AT43">
        <v>4.8887590000000003</v>
      </c>
      <c r="AU43">
        <v>181.41931199999999</v>
      </c>
      <c r="AV43">
        <v>3.4564520000000001</v>
      </c>
      <c r="AW43">
        <v>1.095672</v>
      </c>
      <c r="AX43">
        <v>49.951279</v>
      </c>
      <c r="AY43">
        <v>108.931061</v>
      </c>
      <c r="AZ43">
        <v>217.11743200000001</v>
      </c>
      <c r="BA43">
        <v>26.984525999999999</v>
      </c>
      <c r="BB43">
        <v>6.4551189999999998</v>
      </c>
      <c r="BC43">
        <v>75.467704999999995</v>
      </c>
      <c r="BD43">
        <v>124.484627</v>
      </c>
      <c r="BE43">
        <v>4.501779</v>
      </c>
      <c r="BF43">
        <v>2.170757</v>
      </c>
      <c r="BG43">
        <v>1.541263</v>
      </c>
      <c r="BH43">
        <v>53</v>
      </c>
      <c r="BI43">
        <v>51</v>
      </c>
      <c r="BJ43">
        <v>3.7735850000000002</v>
      </c>
      <c r="BK43">
        <v>81</v>
      </c>
      <c r="BL43">
        <v>1.523E-2</v>
      </c>
      <c r="BM43">
        <v>6.7299999999999999E-3</v>
      </c>
      <c r="BN43">
        <v>-1</v>
      </c>
      <c r="BO43">
        <v>3</v>
      </c>
      <c r="BP43">
        <v>1</v>
      </c>
      <c r="BQ43">
        <v>0.19999900000000001</v>
      </c>
      <c r="BR43">
        <v>27.946646000000001</v>
      </c>
      <c r="BS43">
        <v>14.345494</v>
      </c>
      <c r="BT43">
        <v>6.9700000000000003E-4</v>
      </c>
      <c r="BU43">
        <v>72.488174000000001</v>
      </c>
      <c r="BV43">
        <v>0.946878</v>
      </c>
      <c r="BW43">
        <v>0.64157399999999998</v>
      </c>
      <c r="BX43">
        <v>0.25622899999999998</v>
      </c>
      <c r="BY43">
        <v>2.279112</v>
      </c>
      <c r="BZ43">
        <v>0.92074299999999998</v>
      </c>
      <c r="CA43">
        <v>2020</v>
      </c>
      <c r="CB43">
        <v>1</v>
      </c>
      <c r="CC43">
        <v>19</v>
      </c>
      <c r="CD43">
        <v>1</v>
      </c>
      <c r="CE43">
        <v>16</v>
      </c>
      <c r="CF43">
        <v>23.560001</v>
      </c>
      <c r="CG43">
        <v>2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4.2652000000000002E-2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</row>
    <row r="44" spans="1:105" x14ac:dyDescent="0.25">
      <c r="A44">
        <v>43</v>
      </c>
      <c r="B44" t="s">
        <v>168</v>
      </c>
      <c r="C44">
        <v>58867.093098999998</v>
      </c>
      <c r="D44">
        <v>298.17404199999999</v>
      </c>
      <c r="E44" s="3" t="s">
        <v>107</v>
      </c>
      <c r="F44" s="3" t="s">
        <v>106</v>
      </c>
      <c r="G44">
        <v>-2.111253</v>
      </c>
      <c r="H44">
        <v>175.682571</v>
      </c>
      <c r="I44">
        <v>-10.330458999999999</v>
      </c>
      <c r="J44">
        <v>175.613235</v>
      </c>
      <c r="K44">
        <v>-10.902119000000001</v>
      </c>
      <c r="L44">
        <v>180.36940000000001</v>
      </c>
      <c r="M44">
        <v>-11.735949</v>
      </c>
      <c r="N44">
        <v>64.111069000000001</v>
      </c>
      <c r="O44">
        <v>64.111069000000001</v>
      </c>
      <c r="P44">
        <v>62.993782000000003</v>
      </c>
      <c r="Q44">
        <v>39.665146</v>
      </c>
      <c r="R44">
        <v>3.8554539999999999</v>
      </c>
      <c r="S44">
        <v>0.43585200000000002</v>
      </c>
      <c r="T44">
        <v>0.88695199999999996</v>
      </c>
      <c r="U44">
        <v>7.5733499999999996</v>
      </c>
      <c r="V44">
        <v>100.658691</v>
      </c>
      <c r="W44">
        <v>118.174026</v>
      </c>
      <c r="X44">
        <v>152.17846700000001</v>
      </c>
      <c r="Y44" t="s">
        <v>114</v>
      </c>
      <c r="Z44">
        <v>-1</v>
      </c>
      <c r="AA44">
        <v>-1</v>
      </c>
      <c r="AB44">
        <v>-0.5</v>
      </c>
      <c r="AC44">
        <v>4.1986309999999998</v>
      </c>
      <c r="AD44">
        <v>0.24</v>
      </c>
      <c r="AE44">
        <v>17.513000000000002</v>
      </c>
      <c r="AF44">
        <v>0</v>
      </c>
      <c r="AG44">
        <v>95.261612</v>
      </c>
      <c r="AH44">
        <v>42.393757000000001</v>
      </c>
      <c r="AI44">
        <v>291.07287600000001</v>
      </c>
      <c r="AJ44">
        <v>-16.614132000000001</v>
      </c>
      <c r="AK44">
        <v>251.620102</v>
      </c>
      <c r="AL44">
        <v>45.098576000000001</v>
      </c>
      <c r="AM44">
        <v>50.001109999999997</v>
      </c>
      <c r="AN44">
        <v>26.301362999999998</v>
      </c>
      <c r="AO44">
        <v>358.838593</v>
      </c>
      <c r="AP44">
        <v>51.742634000000002</v>
      </c>
      <c r="AQ44">
        <v>96.228156999999996</v>
      </c>
      <c r="AR44">
        <v>210.05435199999999</v>
      </c>
      <c r="AS44">
        <v>87.609138000000002</v>
      </c>
      <c r="AT44">
        <v>45.359642000000001</v>
      </c>
      <c r="AU44">
        <v>257.41851800000001</v>
      </c>
      <c r="AV44">
        <v>46.197265999999999</v>
      </c>
      <c r="AW44">
        <v>358.74575800000002</v>
      </c>
      <c r="AX44">
        <v>51.852736999999998</v>
      </c>
      <c r="AY44">
        <v>89.940628000000004</v>
      </c>
      <c r="AZ44">
        <v>209.97601299999999</v>
      </c>
      <c r="BA44">
        <v>91.807770000000005</v>
      </c>
      <c r="BB44">
        <v>45.381293999999997</v>
      </c>
      <c r="BC44">
        <v>15.386656</v>
      </c>
      <c r="BD44">
        <v>152.24951200000001</v>
      </c>
      <c r="BE44">
        <v>23.998881999999998</v>
      </c>
      <c r="BF44">
        <v>24.298466000000001</v>
      </c>
      <c r="BG44">
        <v>23.779221</v>
      </c>
      <c r="BH44">
        <v>13</v>
      </c>
      <c r="BI44">
        <v>13</v>
      </c>
      <c r="BJ44">
        <v>0</v>
      </c>
      <c r="BK44">
        <v>41</v>
      </c>
      <c r="BL44">
        <v>3.1899999999999998E-2</v>
      </c>
      <c r="BM44">
        <v>1.371E-2</v>
      </c>
      <c r="BN44">
        <v>-1</v>
      </c>
      <c r="BO44">
        <v>3</v>
      </c>
      <c r="BP44">
        <v>1</v>
      </c>
      <c r="BQ44">
        <v>0.27999200000000002</v>
      </c>
      <c r="BR44">
        <v>156.889343</v>
      </c>
      <c r="BS44">
        <v>45.410212999999999</v>
      </c>
      <c r="BT44">
        <v>1.111E-3</v>
      </c>
      <c r="BU44">
        <v>92.623740999999995</v>
      </c>
      <c r="BV44">
        <v>3.9546269999999999</v>
      </c>
      <c r="BW44">
        <v>0.575708</v>
      </c>
      <c r="BX44">
        <v>1.09622</v>
      </c>
      <c r="BY44">
        <v>1.5400739999999999</v>
      </c>
      <c r="BZ44">
        <v>0.949824</v>
      </c>
      <c r="CA44">
        <v>2020</v>
      </c>
      <c r="CB44">
        <v>1</v>
      </c>
      <c r="CC44">
        <v>19</v>
      </c>
      <c r="CD44">
        <v>2</v>
      </c>
      <c r="CE44">
        <v>14</v>
      </c>
      <c r="CF44">
        <v>3.750003</v>
      </c>
      <c r="CG44">
        <v>2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0.25937300000000002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25">
      <c r="A45">
        <v>44</v>
      </c>
      <c r="B45" t="s">
        <v>169</v>
      </c>
      <c r="C45">
        <v>58867.155003</v>
      </c>
      <c r="D45">
        <v>298.23709100000002</v>
      </c>
      <c r="E45" s="3" t="s">
        <v>107</v>
      </c>
      <c r="F45" s="3" t="s">
        <v>106</v>
      </c>
      <c r="G45">
        <v>0.22783400000000001</v>
      </c>
      <c r="H45">
        <v>223.26011700000001</v>
      </c>
      <c r="I45">
        <v>7.3003960000000001</v>
      </c>
      <c r="J45">
        <v>223.37535099999999</v>
      </c>
      <c r="K45">
        <v>6.9425249999999998</v>
      </c>
      <c r="L45">
        <v>218.66890000000001</v>
      </c>
      <c r="M45">
        <v>22.460932</v>
      </c>
      <c r="N45">
        <v>68.718826000000007</v>
      </c>
      <c r="O45">
        <v>68.718826000000007</v>
      </c>
      <c r="P45">
        <v>67.568138000000005</v>
      </c>
      <c r="Q45">
        <v>42.034179999999999</v>
      </c>
      <c r="R45">
        <v>24.278953999999999</v>
      </c>
      <c r="S45">
        <v>0.90942500000000004</v>
      </c>
      <c r="T45">
        <v>0.96254300000000004</v>
      </c>
      <c r="U45">
        <v>119.679474</v>
      </c>
      <c r="V45">
        <v>147.75735499999999</v>
      </c>
      <c r="W45">
        <v>298.23709100000002</v>
      </c>
      <c r="X45">
        <v>140.33892800000001</v>
      </c>
      <c r="Y45" t="s">
        <v>170</v>
      </c>
      <c r="Z45">
        <v>5.3967489999999998</v>
      </c>
      <c r="AA45">
        <v>2.0666790000000002</v>
      </c>
      <c r="AB45">
        <v>1</v>
      </c>
      <c r="AC45">
        <v>2.1612779999999998</v>
      </c>
      <c r="AD45">
        <v>0.08</v>
      </c>
      <c r="AE45">
        <v>25.562000000000001</v>
      </c>
      <c r="AF45">
        <v>0</v>
      </c>
      <c r="AG45">
        <v>135.785843</v>
      </c>
      <c r="AH45">
        <v>-18.982520999999998</v>
      </c>
      <c r="AI45">
        <v>324.876892</v>
      </c>
      <c r="AJ45">
        <v>-34.438567999999997</v>
      </c>
      <c r="AK45">
        <v>91.687965000000005</v>
      </c>
      <c r="AL45">
        <v>64.430824000000001</v>
      </c>
      <c r="AM45">
        <v>320.02664199999998</v>
      </c>
      <c r="AN45">
        <v>48.834229000000001</v>
      </c>
      <c r="AO45">
        <v>355.93133499999999</v>
      </c>
      <c r="AP45">
        <v>51.325451000000001</v>
      </c>
      <c r="AQ45">
        <v>107.46251700000001</v>
      </c>
      <c r="AR45">
        <v>142.14398199999999</v>
      </c>
      <c r="AS45">
        <v>99.755591999999993</v>
      </c>
      <c r="AT45">
        <v>31.434761000000002</v>
      </c>
      <c r="AU45">
        <v>88.139731999999995</v>
      </c>
      <c r="AV45">
        <v>62.947535999999999</v>
      </c>
      <c r="AW45">
        <v>355.86868299999998</v>
      </c>
      <c r="AX45">
        <v>51.343829999999997</v>
      </c>
      <c r="AY45">
        <v>104.978966</v>
      </c>
      <c r="AZ45">
        <v>143.26208500000001</v>
      </c>
      <c r="BA45">
        <v>101.916763</v>
      </c>
      <c r="BB45">
        <v>31.161826999999999</v>
      </c>
      <c r="BC45">
        <v>5.4975059999999996</v>
      </c>
      <c r="BD45">
        <v>115.366478</v>
      </c>
      <c r="BE45">
        <v>27.685224999999999</v>
      </c>
      <c r="BF45">
        <v>28.442634999999999</v>
      </c>
      <c r="BG45">
        <v>28.083828</v>
      </c>
      <c r="BH45">
        <v>5</v>
      </c>
      <c r="BI45">
        <v>5</v>
      </c>
      <c r="BJ45">
        <v>0</v>
      </c>
      <c r="BK45">
        <v>0</v>
      </c>
      <c r="BL45">
        <v>0.1</v>
      </c>
      <c r="BM45">
        <v>1.617E-2</v>
      </c>
      <c r="BN45">
        <v>-1</v>
      </c>
      <c r="BO45">
        <v>3</v>
      </c>
      <c r="BP45">
        <v>1</v>
      </c>
      <c r="BQ45">
        <v>9.0001999999999999E-2</v>
      </c>
      <c r="BR45">
        <v>156.88954200000001</v>
      </c>
      <c r="BS45">
        <v>31.931168</v>
      </c>
      <c r="BT45">
        <v>0.33250999999999997</v>
      </c>
      <c r="BU45">
        <v>34.510857000000001</v>
      </c>
      <c r="BV45">
        <v>3.137499</v>
      </c>
      <c r="BW45">
        <v>0.375695</v>
      </c>
      <c r="BX45">
        <v>9.5605619999999991</v>
      </c>
      <c r="BY45">
        <v>18.476050999999998</v>
      </c>
      <c r="BZ45">
        <v>0.64081200000000005</v>
      </c>
      <c r="CA45">
        <v>2020</v>
      </c>
      <c r="CB45">
        <v>1</v>
      </c>
      <c r="CC45">
        <v>19</v>
      </c>
      <c r="CD45">
        <v>3</v>
      </c>
      <c r="CE45">
        <v>43</v>
      </c>
      <c r="CF45">
        <v>12.279995</v>
      </c>
      <c r="CG45">
        <v>2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4.1188000000000002E-2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</row>
    <row r="46" spans="1:105" x14ac:dyDescent="0.25">
      <c r="A46">
        <v>45</v>
      </c>
      <c r="B46" t="s">
        <v>171</v>
      </c>
      <c r="C46">
        <v>58867.163036999998</v>
      </c>
      <c r="D46">
        <v>298.24527</v>
      </c>
      <c r="E46" s="3" t="s">
        <v>113</v>
      </c>
      <c r="F46" s="3" t="s">
        <v>107</v>
      </c>
      <c r="G46">
        <v>-1.429246</v>
      </c>
      <c r="H46">
        <v>253.85943599999999</v>
      </c>
      <c r="I46">
        <v>38.085583</v>
      </c>
      <c r="J46">
        <v>254.82853700000001</v>
      </c>
      <c r="K46">
        <v>37.594631</v>
      </c>
      <c r="L46">
        <v>245.68756099999999</v>
      </c>
      <c r="M46">
        <v>59.757420000000003</v>
      </c>
      <c r="N46">
        <v>41.798381999999997</v>
      </c>
      <c r="O46">
        <v>41.798381999999997</v>
      </c>
      <c r="P46">
        <v>40.039893999999997</v>
      </c>
      <c r="Q46">
        <v>39.417167999999997</v>
      </c>
      <c r="R46">
        <v>3.5528170000000001</v>
      </c>
      <c r="S46">
        <v>0.87027699999999997</v>
      </c>
      <c r="T46">
        <v>0.75504599999999999</v>
      </c>
      <c r="U46">
        <v>6.6993720000000003</v>
      </c>
      <c r="V46">
        <v>137.02989199999999</v>
      </c>
      <c r="W46">
        <v>298.24527</v>
      </c>
      <c r="X46">
        <v>67.591492000000002</v>
      </c>
      <c r="Y46" t="s">
        <v>114</v>
      </c>
      <c r="Z46">
        <v>-1</v>
      </c>
      <c r="AA46">
        <v>-1</v>
      </c>
      <c r="AB46">
        <v>-1</v>
      </c>
      <c r="AC46">
        <v>3.004175</v>
      </c>
      <c r="AD46">
        <v>0.48</v>
      </c>
      <c r="AE46">
        <v>6.3460000000000001</v>
      </c>
      <c r="AF46">
        <v>0</v>
      </c>
      <c r="AG46">
        <v>7.0109469999999998</v>
      </c>
      <c r="AH46">
        <v>26.642025</v>
      </c>
      <c r="AI46">
        <v>22.441130000000001</v>
      </c>
      <c r="AJ46">
        <v>-36.218994000000002</v>
      </c>
      <c r="AK46">
        <v>238.37901299999999</v>
      </c>
      <c r="AL46">
        <v>51.215710000000001</v>
      </c>
      <c r="AM46">
        <v>63.413424999999997</v>
      </c>
      <c r="AN46">
        <v>50.629390999999998</v>
      </c>
      <c r="AO46">
        <v>358.097351</v>
      </c>
      <c r="AP46">
        <v>51.205176999999999</v>
      </c>
      <c r="AQ46">
        <v>102.338516</v>
      </c>
      <c r="AR46">
        <v>131.36937</v>
      </c>
      <c r="AS46">
        <v>17.065376000000001</v>
      </c>
      <c r="AT46">
        <v>8.4490669999999994</v>
      </c>
      <c r="AU46">
        <v>234.78306599999999</v>
      </c>
      <c r="AV46">
        <v>53.260193000000001</v>
      </c>
      <c r="AW46">
        <v>357.87887599999999</v>
      </c>
      <c r="AX46">
        <v>51.156650999999997</v>
      </c>
      <c r="AY46">
        <v>90.833663999999999</v>
      </c>
      <c r="AZ46">
        <v>112.34390999999999</v>
      </c>
      <c r="BA46">
        <v>20.069551000000001</v>
      </c>
      <c r="BB46">
        <v>9.8932359999999999</v>
      </c>
      <c r="BC46">
        <v>20.063223000000001</v>
      </c>
      <c r="BD46">
        <v>70.666573</v>
      </c>
      <c r="BE46">
        <v>34.940505999999999</v>
      </c>
      <c r="BF46">
        <v>34.210200999999998</v>
      </c>
      <c r="BG46">
        <v>33.311996000000001</v>
      </c>
      <c r="BH46">
        <v>25</v>
      </c>
      <c r="BI46">
        <v>24</v>
      </c>
      <c r="BJ46">
        <v>4</v>
      </c>
      <c r="BK46">
        <v>0</v>
      </c>
      <c r="BL46">
        <v>0.1</v>
      </c>
      <c r="BM46">
        <v>1.9470000000000001E-2</v>
      </c>
      <c r="BN46">
        <v>-1</v>
      </c>
      <c r="BO46">
        <v>3</v>
      </c>
      <c r="BP46">
        <v>1</v>
      </c>
      <c r="BQ46">
        <v>2.9994E-2</v>
      </c>
      <c r="BR46">
        <v>28.312946</v>
      </c>
      <c r="BS46">
        <v>30.044836</v>
      </c>
      <c r="BT46">
        <v>1.2E-4</v>
      </c>
      <c r="BU46">
        <v>32.327598999999999</v>
      </c>
      <c r="BV46">
        <v>1.0524E-2</v>
      </c>
      <c r="BW46">
        <v>0.90925199999999995</v>
      </c>
      <c r="BX46">
        <v>1.38626</v>
      </c>
      <c r="BY46">
        <v>8.0684339999999999</v>
      </c>
      <c r="BZ46">
        <v>0.74875100000000006</v>
      </c>
      <c r="CA46">
        <v>2020</v>
      </c>
      <c r="CB46">
        <v>1</v>
      </c>
      <c r="CC46">
        <v>19</v>
      </c>
      <c r="CD46">
        <v>3</v>
      </c>
      <c r="CE46">
        <v>54</v>
      </c>
      <c r="CF46">
        <v>46.380001</v>
      </c>
      <c r="CG46">
        <v>2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0.28146700000000002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25">
      <c r="A47">
        <v>46</v>
      </c>
      <c r="B47" t="s">
        <v>172</v>
      </c>
      <c r="C47">
        <v>58867.227891000002</v>
      </c>
      <c r="D47">
        <v>298.31130999999999</v>
      </c>
      <c r="E47" s="3" t="s">
        <v>125</v>
      </c>
      <c r="F47" s="3" t="s">
        <v>143</v>
      </c>
      <c r="G47">
        <v>-1.4701880000000001</v>
      </c>
      <c r="H47">
        <v>178.432999</v>
      </c>
      <c r="I47">
        <v>-5.6894099999999996</v>
      </c>
      <c r="J47">
        <v>178.088516</v>
      </c>
      <c r="K47">
        <v>-6.1367890000000003</v>
      </c>
      <c r="L47">
        <v>180.69708299999999</v>
      </c>
      <c r="M47">
        <v>-6.3887460000000003</v>
      </c>
      <c r="N47">
        <v>66.668876999999995</v>
      </c>
      <c r="O47">
        <v>66.668876999999995</v>
      </c>
      <c r="P47">
        <v>65.826346999999998</v>
      </c>
      <c r="Q47">
        <v>41.608162</v>
      </c>
      <c r="R47">
        <v>12.29369</v>
      </c>
      <c r="S47">
        <v>0.45606600000000003</v>
      </c>
      <c r="T47">
        <v>0.96290200000000004</v>
      </c>
      <c r="U47">
        <v>43.121918000000001</v>
      </c>
      <c r="V47">
        <v>95.368049999999997</v>
      </c>
      <c r="W47">
        <v>118.311272</v>
      </c>
      <c r="X47">
        <v>165.182175</v>
      </c>
      <c r="Y47" t="s">
        <v>114</v>
      </c>
      <c r="Z47">
        <v>-1</v>
      </c>
      <c r="AA47">
        <v>-1</v>
      </c>
      <c r="AB47">
        <v>-1</v>
      </c>
      <c r="AC47">
        <v>8.8150879999999994</v>
      </c>
      <c r="AD47">
        <v>0.34</v>
      </c>
      <c r="AE47">
        <v>25.540001</v>
      </c>
      <c r="AF47">
        <v>0</v>
      </c>
      <c r="AG47">
        <v>85.161758000000006</v>
      </c>
      <c r="AH47">
        <v>-29.802693999999999</v>
      </c>
      <c r="AI47">
        <v>249.688232</v>
      </c>
      <c r="AJ47">
        <v>13.540473</v>
      </c>
      <c r="AK47">
        <v>147.61402899999999</v>
      </c>
      <c r="AL47">
        <v>38.919502000000001</v>
      </c>
      <c r="AM47">
        <v>270.05740400000002</v>
      </c>
      <c r="AN47">
        <v>52.804805999999999</v>
      </c>
      <c r="AO47">
        <v>-2.445395</v>
      </c>
      <c r="AP47">
        <v>51.869297000000003</v>
      </c>
      <c r="AQ47">
        <v>104.175697</v>
      </c>
      <c r="AR47">
        <v>130.30844099999999</v>
      </c>
      <c r="AS47">
        <v>52.944183000000002</v>
      </c>
      <c r="AT47">
        <v>45.875858000000001</v>
      </c>
      <c r="AU47">
        <v>139.593658</v>
      </c>
      <c r="AV47">
        <v>45.441822000000002</v>
      </c>
      <c r="AW47">
        <v>-2.3385989999999999</v>
      </c>
      <c r="AX47">
        <v>52.029591000000003</v>
      </c>
      <c r="AY47">
        <v>92.823502000000005</v>
      </c>
      <c r="AZ47">
        <v>118.043533</v>
      </c>
      <c r="BA47">
        <v>61.759273999999998</v>
      </c>
      <c r="BB47">
        <v>52.411957000000001</v>
      </c>
      <c r="BC47">
        <v>22.667418000000001</v>
      </c>
      <c r="BD47">
        <v>201.97666899999999</v>
      </c>
      <c r="BE47">
        <v>30.088992999999999</v>
      </c>
      <c r="BF47">
        <v>29.823494</v>
      </c>
      <c r="BG47">
        <v>29.305527000000001</v>
      </c>
      <c r="BH47">
        <v>18</v>
      </c>
      <c r="BI47">
        <v>18</v>
      </c>
      <c r="BJ47">
        <v>0</v>
      </c>
      <c r="BK47">
        <v>40</v>
      </c>
      <c r="BL47">
        <v>4.0099999999999997E-2</v>
      </c>
      <c r="BM47">
        <v>1.21E-2</v>
      </c>
      <c r="BN47">
        <v>-1</v>
      </c>
      <c r="BO47">
        <v>3</v>
      </c>
      <c r="BP47">
        <v>1</v>
      </c>
      <c r="BQ47">
        <v>0.32000400000000001</v>
      </c>
      <c r="BR47">
        <v>143.78514100000001</v>
      </c>
      <c r="BS47">
        <v>64.090462000000002</v>
      </c>
      <c r="BT47">
        <v>1.291E-3</v>
      </c>
      <c r="BU47">
        <v>75.955207999999999</v>
      </c>
      <c r="BV47">
        <v>0.36552400000000002</v>
      </c>
      <c r="BW47">
        <v>0.56352100000000005</v>
      </c>
      <c r="BX47">
        <v>0.33455299999999999</v>
      </c>
      <c r="BY47">
        <v>0.42219299999999998</v>
      </c>
      <c r="BZ47">
        <v>0.98321999999999998</v>
      </c>
      <c r="CA47">
        <v>2020</v>
      </c>
      <c r="CB47">
        <v>1</v>
      </c>
      <c r="CC47">
        <v>19</v>
      </c>
      <c r="CD47">
        <v>5</v>
      </c>
      <c r="CE47">
        <v>28</v>
      </c>
      <c r="CF47">
        <v>9.7799949999999995</v>
      </c>
      <c r="CG47">
        <v>2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8.1342999999999999E-2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25">
      <c r="A48">
        <v>47</v>
      </c>
      <c r="B48" t="s">
        <v>173</v>
      </c>
      <c r="C48">
        <v>58867.228772000002</v>
      </c>
      <c r="D48">
        <v>298.31219499999997</v>
      </c>
      <c r="E48" s="3" t="s">
        <v>107</v>
      </c>
      <c r="F48" s="3" t="s">
        <v>143</v>
      </c>
      <c r="G48">
        <v>0.39136700000000002</v>
      </c>
      <c r="H48">
        <v>254.37347399999999</v>
      </c>
      <c r="I48">
        <v>26.545211999999999</v>
      </c>
      <c r="J48">
        <v>254.69070400000001</v>
      </c>
      <c r="K48">
        <v>26.187313</v>
      </c>
      <c r="L48">
        <v>249.04231300000001</v>
      </c>
      <c r="M48">
        <v>48.516323</v>
      </c>
      <c r="N48">
        <v>49.970756999999999</v>
      </c>
      <c r="O48">
        <v>49.970756999999999</v>
      </c>
      <c r="P48">
        <v>48.47739</v>
      </c>
      <c r="Q48">
        <v>42.416530999999999</v>
      </c>
      <c r="R48">
        <v>209.31295800000001</v>
      </c>
      <c r="S48">
        <v>0.74004400000000004</v>
      </c>
      <c r="T48">
        <v>0.99646400000000002</v>
      </c>
      <c r="U48">
        <v>3029.4858399999998</v>
      </c>
      <c r="V48">
        <v>120.23329200000001</v>
      </c>
      <c r="W48">
        <v>298.31219499999997</v>
      </c>
      <c r="X48">
        <v>80.709984000000006</v>
      </c>
      <c r="Y48" t="s">
        <v>114</v>
      </c>
      <c r="Z48">
        <v>-1</v>
      </c>
      <c r="AA48">
        <v>-1</v>
      </c>
      <c r="AB48">
        <v>0.5</v>
      </c>
      <c r="AC48">
        <v>2.475657</v>
      </c>
      <c r="AD48">
        <v>0.12</v>
      </c>
      <c r="AE48">
        <v>19.999001</v>
      </c>
      <c r="AF48">
        <v>0</v>
      </c>
      <c r="AG48">
        <v>166.73126199999999</v>
      </c>
      <c r="AH48">
        <v>-4.7077099999999996</v>
      </c>
      <c r="AI48">
        <v>347.49832199999997</v>
      </c>
      <c r="AJ48">
        <v>-38.489280999999998</v>
      </c>
      <c r="AK48">
        <v>240.09021000000001</v>
      </c>
      <c r="AL48">
        <v>73.956795</v>
      </c>
      <c r="AM48">
        <v>22.655956</v>
      </c>
      <c r="AN48">
        <v>60.727249</v>
      </c>
      <c r="AO48">
        <v>-2.9359350000000002</v>
      </c>
      <c r="AP48">
        <v>51.119301</v>
      </c>
      <c r="AQ48">
        <v>93.682884000000001</v>
      </c>
      <c r="AR48">
        <v>107.087914</v>
      </c>
      <c r="AS48">
        <v>48.003532</v>
      </c>
      <c r="AT48">
        <v>47.247737999999998</v>
      </c>
      <c r="AU48">
        <v>236.98504600000001</v>
      </c>
      <c r="AV48">
        <v>76.301536999999996</v>
      </c>
      <c r="AW48">
        <v>-2.9992030000000001</v>
      </c>
      <c r="AX48">
        <v>51.124493000000001</v>
      </c>
      <c r="AY48">
        <v>89.757591000000005</v>
      </c>
      <c r="AZ48">
        <v>103.17205</v>
      </c>
      <c r="BA48">
        <v>50.479191</v>
      </c>
      <c r="BB48">
        <v>49.655498999999999</v>
      </c>
      <c r="BC48">
        <v>5.9964909999999998</v>
      </c>
      <c r="BD48">
        <v>97.470778999999993</v>
      </c>
      <c r="BE48">
        <v>40.760826000000002</v>
      </c>
      <c r="BF48">
        <v>40.637329000000001</v>
      </c>
      <c r="BG48">
        <v>40.182796000000003</v>
      </c>
      <c r="BH48">
        <v>7</v>
      </c>
      <c r="BI48">
        <v>7</v>
      </c>
      <c r="BJ48">
        <v>0</v>
      </c>
      <c r="BK48">
        <v>0</v>
      </c>
      <c r="BL48">
        <v>0.1</v>
      </c>
      <c r="BM48">
        <v>1.3140000000000001E-2</v>
      </c>
      <c r="BN48">
        <v>-1</v>
      </c>
      <c r="BO48">
        <v>3</v>
      </c>
      <c r="BP48">
        <v>1</v>
      </c>
      <c r="BQ48">
        <v>0.36999399999999999</v>
      </c>
      <c r="BR48">
        <v>96.181076000000004</v>
      </c>
      <c r="BS48">
        <v>81.128799000000001</v>
      </c>
      <c r="BT48">
        <v>1.2179999999999999E-3</v>
      </c>
      <c r="BU48">
        <v>45.193286999999998</v>
      </c>
      <c r="BV48">
        <v>13.334859</v>
      </c>
      <c r="BW48">
        <v>0.45703100000000002</v>
      </c>
      <c r="BX48">
        <v>2.1662020000000002</v>
      </c>
      <c r="BY48">
        <v>2.8421669999999999</v>
      </c>
      <c r="BZ48">
        <v>0.91092399999999996</v>
      </c>
      <c r="CA48">
        <v>2020</v>
      </c>
      <c r="CB48">
        <v>1</v>
      </c>
      <c r="CC48">
        <v>19</v>
      </c>
      <c r="CD48">
        <v>5</v>
      </c>
      <c r="CE48">
        <v>29</v>
      </c>
      <c r="CF48">
        <v>25.930004</v>
      </c>
      <c r="CG48">
        <v>2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4.7780000000000001E-3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</row>
    <row r="49" spans="1:105" x14ac:dyDescent="0.25">
      <c r="A49">
        <v>48</v>
      </c>
      <c r="B49" t="s">
        <v>174</v>
      </c>
      <c r="C49">
        <v>58867.241043000002</v>
      </c>
      <c r="D49">
        <v>298.32470699999999</v>
      </c>
      <c r="E49" s="3" t="s">
        <v>153</v>
      </c>
      <c r="F49" s="3" t="s">
        <v>154</v>
      </c>
      <c r="G49">
        <v>-2.002049</v>
      </c>
      <c r="H49">
        <v>166.387573</v>
      </c>
      <c r="I49">
        <v>33.247818000000002</v>
      </c>
      <c r="J49">
        <v>165.45091199999999</v>
      </c>
      <c r="K49">
        <v>32.693626000000002</v>
      </c>
      <c r="L49">
        <v>153.34989899999999</v>
      </c>
      <c r="M49">
        <v>24.299057000000001</v>
      </c>
      <c r="N49">
        <v>42.021458000000003</v>
      </c>
      <c r="O49">
        <v>42.021458000000003</v>
      </c>
      <c r="P49">
        <v>40.661670999999998</v>
      </c>
      <c r="Q49">
        <v>35.683998000000003</v>
      </c>
      <c r="R49">
        <v>1.6736660000000001</v>
      </c>
      <c r="S49">
        <v>0.210149</v>
      </c>
      <c r="T49">
        <v>0.87443800000000005</v>
      </c>
      <c r="U49">
        <v>2.1660970000000002</v>
      </c>
      <c r="V49">
        <v>313.292145</v>
      </c>
      <c r="W49">
        <v>298.32467700000001</v>
      </c>
      <c r="X49">
        <v>61.711376000000001</v>
      </c>
      <c r="Y49" t="s">
        <v>165</v>
      </c>
      <c r="Z49">
        <v>3.2106940000000002</v>
      </c>
      <c r="AA49">
        <v>1.251344</v>
      </c>
      <c r="AB49">
        <v>-0.4</v>
      </c>
      <c r="AC49">
        <v>3.2218960000000001</v>
      </c>
      <c r="AD49">
        <v>0.28000000000000003</v>
      </c>
      <c r="AE49">
        <v>11.368</v>
      </c>
      <c r="AF49">
        <v>0</v>
      </c>
      <c r="AG49">
        <v>342.95608499999997</v>
      </c>
      <c r="AH49">
        <v>56.705021000000002</v>
      </c>
      <c r="AI49">
        <v>199.74928299999999</v>
      </c>
      <c r="AJ49">
        <v>38.574703</v>
      </c>
      <c r="AK49">
        <v>252.26513700000001</v>
      </c>
      <c r="AL49">
        <v>0.453768</v>
      </c>
      <c r="AM49">
        <v>123.71839900000001</v>
      </c>
      <c r="AN49">
        <v>24.839945</v>
      </c>
      <c r="AO49">
        <v>0.79145299999999996</v>
      </c>
      <c r="AP49">
        <v>49.858738000000002</v>
      </c>
      <c r="AQ49">
        <v>91.281052000000003</v>
      </c>
      <c r="AR49">
        <v>209.341003</v>
      </c>
      <c r="AS49">
        <v>86.304114999999996</v>
      </c>
      <c r="AT49">
        <v>5.9424140000000003</v>
      </c>
      <c r="AU49">
        <v>254.95854199999999</v>
      </c>
      <c r="AV49">
        <v>-1.3146119999999999</v>
      </c>
      <c r="AW49">
        <v>0.877023</v>
      </c>
      <c r="AX49">
        <v>49.873187999999999</v>
      </c>
      <c r="AY49">
        <v>81.442436000000001</v>
      </c>
      <c r="AZ49">
        <v>208.912781</v>
      </c>
      <c r="BA49">
        <v>89.526009000000002</v>
      </c>
      <c r="BB49">
        <v>5.9546390000000002</v>
      </c>
      <c r="BC49">
        <v>11.766007</v>
      </c>
      <c r="BD49">
        <v>254.61828600000001</v>
      </c>
      <c r="BE49">
        <v>56.865166000000002</v>
      </c>
      <c r="BF49">
        <v>57.897568</v>
      </c>
      <c r="BG49">
        <v>56.949168999999998</v>
      </c>
      <c r="BH49">
        <v>15</v>
      </c>
      <c r="BI49">
        <v>15</v>
      </c>
      <c r="BJ49">
        <v>0</v>
      </c>
      <c r="BK49">
        <v>18</v>
      </c>
      <c r="BL49">
        <v>1.4959999999999999E-2</v>
      </c>
      <c r="BM49">
        <v>5.4799999999999996E-3</v>
      </c>
      <c r="BN49">
        <v>-1</v>
      </c>
      <c r="BO49">
        <v>3</v>
      </c>
      <c r="BP49">
        <v>1</v>
      </c>
      <c r="BQ49">
        <v>0.14000099999999999</v>
      </c>
      <c r="BR49">
        <v>27.946843999999999</v>
      </c>
      <c r="BS49">
        <v>5.9548379999999996</v>
      </c>
      <c r="BT49">
        <v>3.2400000000000001E-4</v>
      </c>
      <c r="BU49">
        <v>85.355170999999999</v>
      </c>
      <c r="BV49">
        <v>0.10824400000000001</v>
      </c>
      <c r="BW49">
        <v>0.96156699999999995</v>
      </c>
      <c r="BX49">
        <v>4.3858319999999997</v>
      </c>
      <c r="BY49">
        <v>42.276721999999999</v>
      </c>
      <c r="BZ49">
        <v>0.48280200000000001</v>
      </c>
      <c r="CA49">
        <v>2020</v>
      </c>
      <c r="CB49">
        <v>1</v>
      </c>
      <c r="CC49">
        <v>19</v>
      </c>
      <c r="CD49">
        <v>5</v>
      </c>
      <c r="CE49">
        <v>47</v>
      </c>
      <c r="CF49">
        <v>6.1000030000000001</v>
      </c>
      <c r="CG49">
        <v>2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0.59749099999999999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</row>
    <row r="50" spans="1:105" x14ac:dyDescent="0.25">
      <c r="A50">
        <v>49</v>
      </c>
      <c r="B50" t="s">
        <v>175</v>
      </c>
      <c r="C50">
        <v>58867.241285999997</v>
      </c>
      <c r="D50">
        <v>298.324951</v>
      </c>
      <c r="E50" s="3" t="s">
        <v>122</v>
      </c>
      <c r="F50" s="3" t="s">
        <v>106</v>
      </c>
      <c r="G50">
        <v>-0.57616699999999998</v>
      </c>
      <c r="H50">
        <v>213.39123499999999</v>
      </c>
      <c r="I50">
        <v>12.679963000000001</v>
      </c>
      <c r="J50">
        <v>213.15304599999999</v>
      </c>
      <c r="K50">
        <v>12.010202</v>
      </c>
      <c r="L50">
        <v>206.48497</v>
      </c>
      <c r="M50">
        <v>23.80781</v>
      </c>
      <c r="N50">
        <v>44.536960999999998</v>
      </c>
      <c r="O50">
        <v>44.536960999999998</v>
      </c>
      <c r="P50">
        <v>43.064419000000001</v>
      </c>
      <c r="Q50">
        <v>19.655245000000001</v>
      </c>
      <c r="R50">
        <v>0.62602999999999998</v>
      </c>
      <c r="S50">
        <v>0.26701999999999998</v>
      </c>
      <c r="T50">
        <v>0.57347000000000004</v>
      </c>
      <c r="U50">
        <v>0.495527</v>
      </c>
      <c r="V50">
        <v>357.56021099999998</v>
      </c>
      <c r="W50">
        <v>298.324951</v>
      </c>
      <c r="X50">
        <v>117.645241</v>
      </c>
      <c r="Y50" t="s">
        <v>114</v>
      </c>
      <c r="Z50">
        <v>-1</v>
      </c>
      <c r="AA50">
        <v>-1</v>
      </c>
      <c r="AB50">
        <v>0.5</v>
      </c>
      <c r="AC50">
        <v>0.84674000000000005</v>
      </c>
      <c r="AD50">
        <v>0.06</v>
      </c>
      <c r="AE50">
        <v>16.337999</v>
      </c>
      <c r="AF50">
        <v>0</v>
      </c>
      <c r="AG50">
        <v>338.78259300000002</v>
      </c>
      <c r="AH50">
        <v>68.769767999999999</v>
      </c>
      <c r="AI50">
        <v>281.07238799999999</v>
      </c>
      <c r="AJ50">
        <v>-10.648961999999999</v>
      </c>
      <c r="AK50">
        <v>146.27153000000001</v>
      </c>
      <c r="AL50">
        <v>20.763297999999999</v>
      </c>
      <c r="AM50">
        <v>256.432526</v>
      </c>
      <c r="AN50">
        <v>35.998837000000002</v>
      </c>
      <c r="AO50">
        <v>-3.0951949999999999</v>
      </c>
      <c r="AP50">
        <v>52.467677999999999</v>
      </c>
      <c r="AQ50">
        <v>98.031693000000004</v>
      </c>
      <c r="AR50">
        <v>164.70755</v>
      </c>
      <c r="AS50">
        <v>64.373367000000002</v>
      </c>
      <c r="AT50">
        <v>35.466030000000003</v>
      </c>
      <c r="AU50">
        <v>145.36869799999999</v>
      </c>
      <c r="AV50">
        <v>20.700012000000001</v>
      </c>
      <c r="AW50">
        <v>-3.1029490000000002</v>
      </c>
      <c r="AX50">
        <v>52.482509999999998</v>
      </c>
      <c r="AY50">
        <v>96.025475</v>
      </c>
      <c r="AZ50">
        <v>163.586716</v>
      </c>
      <c r="BA50">
        <v>65.220084999999997</v>
      </c>
      <c r="BB50">
        <v>35.746184999999997</v>
      </c>
      <c r="BC50">
        <v>2.672218</v>
      </c>
      <c r="BD50">
        <v>162.33659399999999</v>
      </c>
      <c r="BE50">
        <v>49.015712999999998</v>
      </c>
      <c r="BF50">
        <v>49.06382</v>
      </c>
      <c r="BG50">
        <v>48.438087000000003</v>
      </c>
      <c r="BH50">
        <v>4</v>
      </c>
      <c r="BI50">
        <v>4</v>
      </c>
      <c r="BJ50">
        <v>0</v>
      </c>
      <c r="BK50">
        <v>31</v>
      </c>
      <c r="BL50">
        <v>2.121E-2</v>
      </c>
      <c r="BM50">
        <v>3.5000000000000001E-3</v>
      </c>
      <c r="BN50">
        <v>-1</v>
      </c>
      <c r="BO50">
        <v>3</v>
      </c>
      <c r="BP50">
        <v>1</v>
      </c>
      <c r="BQ50">
        <v>0.34999799999999998</v>
      </c>
      <c r="BR50">
        <v>201.685608</v>
      </c>
      <c r="BS50">
        <v>40.048045999999999</v>
      </c>
      <c r="BT50">
        <v>0.30084699999999998</v>
      </c>
      <c r="BU50">
        <v>13.033315999999999</v>
      </c>
      <c r="BV50">
        <v>20.587074000000001</v>
      </c>
      <c r="BW50">
        <v>0.70902699999999996</v>
      </c>
      <c r="BX50">
        <v>2.7485409999999999</v>
      </c>
      <c r="BY50">
        <v>4.7048300000000003</v>
      </c>
      <c r="BZ50">
        <v>0.85527699999999995</v>
      </c>
      <c r="CA50">
        <v>2020</v>
      </c>
      <c r="CB50">
        <v>1</v>
      </c>
      <c r="CC50">
        <v>19</v>
      </c>
      <c r="CD50">
        <v>5</v>
      </c>
      <c r="CE50">
        <v>47</v>
      </c>
      <c r="CF50">
        <v>27.1</v>
      </c>
      <c r="CG50">
        <v>2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1.5973679999999999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25">
      <c r="A51">
        <v>50</v>
      </c>
      <c r="B51" t="s">
        <v>176</v>
      </c>
      <c r="C51">
        <v>58867.269398999997</v>
      </c>
      <c r="D51">
        <v>298.35357699999997</v>
      </c>
      <c r="E51" s="3" t="s">
        <v>110</v>
      </c>
      <c r="F51" s="3" t="s">
        <v>111</v>
      </c>
      <c r="G51">
        <v>-2.4151250000000002</v>
      </c>
      <c r="H51">
        <v>187.82574500000001</v>
      </c>
      <c r="I51">
        <v>17.566824</v>
      </c>
      <c r="J51">
        <v>187.42846700000001</v>
      </c>
      <c r="K51">
        <v>17.218443000000001</v>
      </c>
      <c r="L51">
        <v>179.73201</v>
      </c>
      <c r="M51">
        <v>18.706001000000001</v>
      </c>
      <c r="N51">
        <v>62.921162000000002</v>
      </c>
      <c r="O51">
        <v>62.921162000000002</v>
      </c>
      <c r="P51">
        <v>62.042403999999998</v>
      </c>
      <c r="Q51">
        <v>40.427031999999997</v>
      </c>
      <c r="R51">
        <v>5.2477489999999998</v>
      </c>
      <c r="S51">
        <v>0.48624000000000001</v>
      </c>
      <c r="T51">
        <v>0.90734300000000001</v>
      </c>
      <c r="U51">
        <v>12.026363999999999</v>
      </c>
      <c r="V51">
        <v>273.62335200000001</v>
      </c>
      <c r="W51">
        <v>298.35357699999997</v>
      </c>
      <c r="X51">
        <v>136.96369899999999</v>
      </c>
      <c r="Y51" t="s">
        <v>162</v>
      </c>
      <c r="Z51">
        <v>1.9763109999999999</v>
      </c>
      <c r="AA51">
        <v>2.907038</v>
      </c>
      <c r="AB51">
        <v>-1.1000000000000001</v>
      </c>
      <c r="AC51">
        <v>6.6596669999999998</v>
      </c>
      <c r="AD51">
        <v>0.34</v>
      </c>
      <c r="AE51">
        <v>20.146000000000001</v>
      </c>
      <c r="AF51">
        <v>0</v>
      </c>
      <c r="AG51">
        <v>92.489554999999996</v>
      </c>
      <c r="AH51">
        <v>16.370743000000001</v>
      </c>
      <c r="AI51">
        <v>234.78829999999999</v>
      </c>
      <c r="AJ51">
        <v>23.393227</v>
      </c>
      <c r="AK51">
        <v>325.80175800000001</v>
      </c>
      <c r="AL51">
        <v>63.8172</v>
      </c>
      <c r="AM51">
        <v>30.743479000000001</v>
      </c>
      <c r="AN51">
        <v>37.164138999999999</v>
      </c>
      <c r="AO51">
        <v>-0.226579</v>
      </c>
      <c r="AP51">
        <v>52.965736</v>
      </c>
      <c r="AQ51">
        <v>111.690811</v>
      </c>
      <c r="AR51">
        <v>182.17472799999999</v>
      </c>
      <c r="AS51">
        <v>92.386748999999995</v>
      </c>
      <c r="AT51">
        <v>17.372982</v>
      </c>
      <c r="AU51">
        <v>333.93539399999997</v>
      </c>
      <c r="AV51">
        <v>58.426071</v>
      </c>
      <c r="AW51">
        <v>-9.0235999999999997E-2</v>
      </c>
      <c r="AX51">
        <v>53.059128000000001</v>
      </c>
      <c r="AY51">
        <v>95.611801</v>
      </c>
      <c r="AZ51">
        <v>184.30928</v>
      </c>
      <c r="BA51">
        <v>99.046417000000005</v>
      </c>
      <c r="BB51">
        <v>17.165496999999998</v>
      </c>
      <c r="BC51">
        <v>21.393196</v>
      </c>
      <c r="BD51">
        <v>220.76826500000001</v>
      </c>
      <c r="BE51">
        <v>48.787170000000003</v>
      </c>
      <c r="BF51">
        <v>50.054820999999997</v>
      </c>
      <c r="BG51">
        <v>49.579754000000001</v>
      </c>
      <c r="BH51">
        <v>18</v>
      </c>
      <c r="BI51">
        <v>18</v>
      </c>
      <c r="BJ51">
        <v>0</v>
      </c>
      <c r="BK51">
        <v>34</v>
      </c>
      <c r="BL51">
        <v>2.1579999999999998E-2</v>
      </c>
      <c r="BM51">
        <v>1.6910000000000001E-2</v>
      </c>
      <c r="BN51">
        <v>-1</v>
      </c>
      <c r="BO51">
        <v>3</v>
      </c>
      <c r="BP51">
        <v>1</v>
      </c>
      <c r="BQ51">
        <v>2.159996</v>
      </c>
      <c r="BR51">
        <v>105.113434</v>
      </c>
      <c r="BS51">
        <v>17.388546000000002</v>
      </c>
      <c r="BT51">
        <v>8.2909999999999998E-3</v>
      </c>
      <c r="BU51">
        <v>59.133133000000001</v>
      </c>
      <c r="BV51">
        <v>0.22563</v>
      </c>
      <c r="BW51">
        <v>0.51487499999999997</v>
      </c>
      <c r="BX51">
        <v>1.272305</v>
      </c>
      <c r="BY51">
        <v>4.3109570000000001</v>
      </c>
      <c r="BZ51">
        <v>0.86704300000000001</v>
      </c>
      <c r="CA51">
        <v>2020</v>
      </c>
      <c r="CB51">
        <v>1</v>
      </c>
      <c r="CC51">
        <v>19</v>
      </c>
      <c r="CD51">
        <v>6</v>
      </c>
      <c r="CE51">
        <v>27</v>
      </c>
      <c r="CF51">
        <v>56.040005000000001</v>
      </c>
      <c r="CG51">
        <v>2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0.19055800000000001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25">
      <c r="A52">
        <v>51</v>
      </c>
      <c r="B52" t="s">
        <v>177</v>
      </c>
      <c r="C52">
        <v>58867.276463000002</v>
      </c>
      <c r="D52">
        <v>298.360748</v>
      </c>
      <c r="E52" s="3" t="s">
        <v>110</v>
      </c>
      <c r="F52" s="3" t="s">
        <v>111</v>
      </c>
      <c r="G52">
        <v>-2.6643309999999998</v>
      </c>
      <c r="H52">
        <v>186.551468</v>
      </c>
      <c r="I52">
        <v>33.028191</v>
      </c>
      <c r="J52">
        <v>186.00056499999999</v>
      </c>
      <c r="K52">
        <v>32.708187000000002</v>
      </c>
      <c r="L52">
        <v>170.88812300000001</v>
      </c>
      <c r="M52">
        <v>32.057262000000001</v>
      </c>
      <c r="N52">
        <v>55.776980999999999</v>
      </c>
      <c r="O52">
        <v>55.776980999999999</v>
      </c>
      <c r="P52">
        <v>54.767856999999999</v>
      </c>
      <c r="Q52">
        <v>40.956093000000003</v>
      </c>
      <c r="R52">
        <v>7.0411780000000004</v>
      </c>
      <c r="S52">
        <v>0.50239400000000001</v>
      </c>
      <c r="T52">
        <v>0.92864899999999995</v>
      </c>
      <c r="U52">
        <v>18.691437000000001</v>
      </c>
      <c r="V52">
        <v>270.93450899999999</v>
      </c>
      <c r="W52">
        <v>298.360748</v>
      </c>
      <c r="X52">
        <v>102.724655</v>
      </c>
      <c r="Y52" t="s">
        <v>114</v>
      </c>
      <c r="Z52">
        <v>-1</v>
      </c>
      <c r="AA52">
        <v>-1</v>
      </c>
      <c r="AB52">
        <v>-1.1000000000000001</v>
      </c>
      <c r="AC52">
        <v>4.0436189999999996</v>
      </c>
      <c r="AD52">
        <v>0.26</v>
      </c>
      <c r="AE52">
        <v>15.51</v>
      </c>
      <c r="AF52">
        <v>0</v>
      </c>
      <c r="AG52">
        <v>58.717849999999999</v>
      </c>
      <c r="AH52">
        <v>43.334538000000002</v>
      </c>
      <c r="AI52">
        <v>213.432861</v>
      </c>
      <c r="AJ52">
        <v>33.293629000000003</v>
      </c>
      <c r="AK52">
        <v>295.41153000000003</v>
      </c>
      <c r="AL52">
        <v>30.199553000000002</v>
      </c>
      <c r="AM52">
        <v>77.737517999999994</v>
      </c>
      <c r="AN52">
        <v>29.709378999999998</v>
      </c>
      <c r="AO52">
        <v>1.1926099999999999</v>
      </c>
      <c r="AP52">
        <v>52.173198999999997</v>
      </c>
      <c r="AQ52">
        <v>104.664772</v>
      </c>
      <c r="AR52">
        <v>205.55946399999999</v>
      </c>
      <c r="AS52">
        <v>87.711501999999996</v>
      </c>
      <c r="AT52">
        <v>26.744577</v>
      </c>
      <c r="AU52">
        <v>299.03698700000001</v>
      </c>
      <c r="AV52">
        <v>27.691652000000001</v>
      </c>
      <c r="AW52">
        <v>1.286292</v>
      </c>
      <c r="AX52">
        <v>52.201766999999997</v>
      </c>
      <c r="AY52">
        <v>92.122771999999998</v>
      </c>
      <c r="AZ52">
        <v>205.491928</v>
      </c>
      <c r="BA52">
        <v>91.755127000000002</v>
      </c>
      <c r="BB52">
        <v>26.754068</v>
      </c>
      <c r="BC52">
        <v>14.502014000000001</v>
      </c>
      <c r="BD52">
        <v>242.82849100000001</v>
      </c>
      <c r="BE52">
        <v>59.947071000000001</v>
      </c>
      <c r="BF52">
        <v>61.449688000000002</v>
      </c>
      <c r="BG52">
        <v>60.908225999999999</v>
      </c>
      <c r="BH52">
        <v>14</v>
      </c>
      <c r="BI52">
        <v>13</v>
      </c>
      <c r="BJ52">
        <v>7.1428570000000002</v>
      </c>
      <c r="BK52">
        <v>36</v>
      </c>
      <c r="BL52">
        <v>2.793E-2</v>
      </c>
      <c r="BM52">
        <v>3.5290000000000002E-2</v>
      </c>
      <c r="BN52">
        <v>-1</v>
      </c>
      <c r="BO52">
        <v>3</v>
      </c>
      <c r="BP52">
        <v>1</v>
      </c>
      <c r="BQ52">
        <v>2.0499990000000001</v>
      </c>
      <c r="BR52">
        <v>105.113434</v>
      </c>
      <c r="BS52">
        <v>26.767627999999998</v>
      </c>
      <c r="BT52">
        <v>7.2189999999999997E-3</v>
      </c>
      <c r="BU52">
        <v>82.601478999999998</v>
      </c>
      <c r="BV52">
        <v>3.671E-2</v>
      </c>
      <c r="BW52">
        <v>0.56258900000000001</v>
      </c>
      <c r="BX52">
        <v>1.8824069999999999</v>
      </c>
      <c r="BY52">
        <v>4.1816230000000001</v>
      </c>
      <c r="BZ52">
        <v>0.85846599999999995</v>
      </c>
      <c r="CA52">
        <v>2020</v>
      </c>
      <c r="CB52">
        <v>1</v>
      </c>
      <c r="CC52">
        <v>19</v>
      </c>
      <c r="CD52">
        <v>6</v>
      </c>
      <c r="CE52">
        <v>38</v>
      </c>
      <c r="CF52">
        <v>6.4400019999999998</v>
      </c>
      <c r="CG52">
        <v>2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0.14202200000000001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</row>
    <row r="53" spans="1:105" x14ac:dyDescent="0.25">
      <c r="A53">
        <v>52</v>
      </c>
      <c r="B53" t="s">
        <v>178</v>
      </c>
      <c r="C53">
        <v>58867.824495000001</v>
      </c>
      <c r="D53">
        <v>298.91879299999999</v>
      </c>
      <c r="E53" s="3" t="s">
        <v>125</v>
      </c>
      <c r="F53" s="3" t="s">
        <v>111</v>
      </c>
      <c r="G53">
        <v>-1.2556590000000001</v>
      </c>
      <c r="H53">
        <v>183.51959199999999</v>
      </c>
      <c r="I53">
        <v>33.840347000000001</v>
      </c>
      <c r="J53">
        <v>184.330612</v>
      </c>
      <c r="K53">
        <v>33.056469</v>
      </c>
      <c r="L53">
        <v>169.23588599999999</v>
      </c>
      <c r="M53">
        <v>31.711113000000001</v>
      </c>
      <c r="N53">
        <v>55.932949000000001</v>
      </c>
      <c r="O53">
        <v>55.932949000000001</v>
      </c>
      <c r="P53">
        <v>54.616520000000001</v>
      </c>
      <c r="Q53">
        <v>41.540908999999999</v>
      </c>
      <c r="R53">
        <v>11.423</v>
      </c>
      <c r="S53">
        <v>0.47595900000000002</v>
      </c>
      <c r="T53">
        <v>0.95833299999999999</v>
      </c>
      <c r="U53">
        <v>38.622909999999997</v>
      </c>
      <c r="V53">
        <v>273.149475</v>
      </c>
      <c r="W53">
        <v>298.91879299999999</v>
      </c>
      <c r="X53">
        <v>100.812607</v>
      </c>
      <c r="Y53" t="s">
        <v>114</v>
      </c>
      <c r="Z53">
        <v>-1</v>
      </c>
      <c r="AA53">
        <v>-1</v>
      </c>
      <c r="AB53">
        <v>-0.7</v>
      </c>
      <c r="AC53">
        <v>17.107112999999998</v>
      </c>
      <c r="AD53">
        <v>0.9</v>
      </c>
      <c r="AE53">
        <v>18.681999000000001</v>
      </c>
      <c r="AF53">
        <v>0</v>
      </c>
      <c r="AG53">
        <v>99.070435000000003</v>
      </c>
      <c r="AH53">
        <v>-8.2095409999999998</v>
      </c>
      <c r="AI53">
        <v>54.894832999999998</v>
      </c>
      <c r="AJ53">
        <v>-23.264322</v>
      </c>
      <c r="AK53">
        <v>160.27658099999999</v>
      </c>
      <c r="AL53">
        <v>73.325385999999995</v>
      </c>
      <c r="AM53">
        <v>22.891839999999998</v>
      </c>
      <c r="AN53">
        <v>44.629069999999999</v>
      </c>
      <c r="AO53">
        <v>359.26776100000001</v>
      </c>
      <c r="AP53">
        <v>52.710430000000002</v>
      </c>
      <c r="AQ53">
        <v>103.458679</v>
      </c>
      <c r="AR53">
        <v>145.606628</v>
      </c>
      <c r="AS53">
        <v>41.197132000000003</v>
      </c>
      <c r="AT53">
        <v>21.978926000000001</v>
      </c>
      <c r="AU53">
        <v>81.791634000000002</v>
      </c>
      <c r="AV53">
        <v>81.408118999999999</v>
      </c>
      <c r="AW53">
        <v>358.79620399999999</v>
      </c>
      <c r="AX53">
        <v>52.374648999999998</v>
      </c>
      <c r="AY53">
        <v>97.208290000000005</v>
      </c>
      <c r="AZ53">
        <v>112.715599</v>
      </c>
      <c r="BA53">
        <v>58.304245000000002</v>
      </c>
      <c r="BB53">
        <v>28.912821000000001</v>
      </c>
      <c r="BC53">
        <v>50.339652999999998</v>
      </c>
      <c r="BD53">
        <v>40.641196999999998</v>
      </c>
      <c r="BE53">
        <v>7.1577970000000004</v>
      </c>
      <c r="BF53">
        <v>6.2835320000000001</v>
      </c>
      <c r="BG53">
        <v>5.2722280000000001</v>
      </c>
      <c r="BH53">
        <v>46</v>
      </c>
      <c r="BI53">
        <v>46</v>
      </c>
      <c r="BJ53">
        <v>0</v>
      </c>
      <c r="BK53">
        <v>0</v>
      </c>
      <c r="BL53">
        <v>0.1</v>
      </c>
      <c r="BM53">
        <v>2.0899999999999998E-2</v>
      </c>
      <c r="BN53">
        <v>-1</v>
      </c>
      <c r="BO53">
        <v>3</v>
      </c>
      <c r="BP53">
        <v>1</v>
      </c>
      <c r="BQ53">
        <v>2.0005999999999999E-2</v>
      </c>
      <c r="BR53">
        <v>105.113434</v>
      </c>
      <c r="BS53">
        <v>34.626868999999999</v>
      </c>
      <c r="BT53">
        <v>7.3999999999999996E-5</v>
      </c>
      <c r="BU53">
        <v>19.686866999999999</v>
      </c>
      <c r="BV53">
        <v>0.59711999999999998</v>
      </c>
      <c r="BW53">
        <v>1.0355529999999999</v>
      </c>
      <c r="BX53">
        <v>0.61827299999999996</v>
      </c>
      <c r="BY53">
        <v>1.2788029999999999</v>
      </c>
      <c r="BZ53">
        <v>0.95762899999999995</v>
      </c>
      <c r="CA53">
        <v>2020</v>
      </c>
      <c r="CB53">
        <v>1</v>
      </c>
      <c r="CC53">
        <v>19</v>
      </c>
      <c r="CD53">
        <v>19</v>
      </c>
      <c r="CE53">
        <v>47</v>
      </c>
      <c r="CF53">
        <v>16.369997000000001</v>
      </c>
      <c r="CG53">
        <v>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8.7542999999999996E-2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25">
      <c r="A54">
        <v>53</v>
      </c>
      <c r="B54" t="s">
        <v>179</v>
      </c>
      <c r="C54">
        <v>58867.851268999999</v>
      </c>
      <c r="D54">
        <v>298.94604500000003</v>
      </c>
      <c r="E54" s="3" t="s">
        <v>125</v>
      </c>
      <c r="F54" s="3" t="s">
        <v>106</v>
      </c>
      <c r="G54">
        <v>1.0589660000000001</v>
      </c>
      <c r="H54">
        <v>146.52255199999999</v>
      </c>
      <c r="I54">
        <v>11.214216</v>
      </c>
      <c r="J54">
        <v>147.379547</v>
      </c>
      <c r="K54">
        <v>10.174562</v>
      </c>
      <c r="L54">
        <v>146.09979200000001</v>
      </c>
      <c r="M54">
        <v>-2.806416</v>
      </c>
      <c r="N54">
        <v>45.988098000000001</v>
      </c>
      <c r="O54">
        <v>45.988098000000001</v>
      </c>
      <c r="P54">
        <v>44.320576000000003</v>
      </c>
      <c r="Q54">
        <v>40.570704999999997</v>
      </c>
      <c r="R54">
        <v>5.6389120000000004</v>
      </c>
      <c r="S54">
        <v>5.8217999999999999E-2</v>
      </c>
      <c r="T54">
        <v>0.989676</v>
      </c>
      <c r="U54">
        <v>13.395771</v>
      </c>
      <c r="V54">
        <v>153.05879200000001</v>
      </c>
      <c r="W54">
        <v>118.945999</v>
      </c>
      <c r="X54">
        <v>12.164047999999999</v>
      </c>
      <c r="Y54" t="s">
        <v>180</v>
      </c>
      <c r="Z54">
        <v>4.2718420000000004</v>
      </c>
      <c r="AA54">
        <v>6.7965679999999997</v>
      </c>
      <c r="AB54">
        <v>2</v>
      </c>
      <c r="AC54">
        <v>7.422453</v>
      </c>
      <c r="AD54">
        <v>0.57999999999999996</v>
      </c>
      <c r="AE54">
        <v>12.827999999999999</v>
      </c>
      <c r="AF54">
        <v>0</v>
      </c>
      <c r="AG54">
        <v>61.810687999999999</v>
      </c>
      <c r="AH54">
        <v>-24.931753</v>
      </c>
      <c r="AI54">
        <v>0.29607899999999998</v>
      </c>
      <c r="AJ54">
        <v>-37.881481000000001</v>
      </c>
      <c r="AK54">
        <v>351.160797</v>
      </c>
      <c r="AL54">
        <v>35.480358000000003</v>
      </c>
      <c r="AM54">
        <v>282.11099200000001</v>
      </c>
      <c r="AN54">
        <v>37.539031999999999</v>
      </c>
      <c r="AO54">
        <v>357.05749500000002</v>
      </c>
      <c r="AP54">
        <v>52.074131000000001</v>
      </c>
      <c r="AQ54">
        <v>89.240509000000003</v>
      </c>
      <c r="AR54">
        <v>145.38261399999999</v>
      </c>
      <c r="AS54">
        <v>127.81877900000001</v>
      </c>
      <c r="AT54">
        <v>26.691158000000001</v>
      </c>
      <c r="AU54">
        <v>346.77359000000001</v>
      </c>
      <c r="AV54">
        <v>29.048876</v>
      </c>
      <c r="AW54">
        <v>356.68279999999999</v>
      </c>
      <c r="AX54">
        <v>52.063251000000001</v>
      </c>
      <c r="AY54">
        <v>83.605553</v>
      </c>
      <c r="AZ54">
        <v>163.10438500000001</v>
      </c>
      <c r="BA54">
        <v>135.24122600000001</v>
      </c>
      <c r="BB54">
        <v>23.601706</v>
      </c>
      <c r="BC54">
        <v>26.673098</v>
      </c>
      <c r="BD54">
        <v>87.340667999999994</v>
      </c>
      <c r="BE54">
        <v>12.073698</v>
      </c>
      <c r="BF54">
        <v>13.067245</v>
      </c>
      <c r="BG54">
        <v>11.729336</v>
      </c>
      <c r="BH54">
        <v>30</v>
      </c>
      <c r="BI54">
        <v>24</v>
      </c>
      <c r="BJ54">
        <v>20</v>
      </c>
      <c r="BK54">
        <v>5</v>
      </c>
      <c r="BL54">
        <v>0.45151000000000002</v>
      </c>
      <c r="BM54">
        <v>2.2200000000000001E-2</v>
      </c>
      <c r="BN54">
        <v>-1</v>
      </c>
      <c r="BO54">
        <v>3</v>
      </c>
      <c r="BP54">
        <v>1</v>
      </c>
      <c r="BQ54">
        <v>9.9999000000000005E-2</v>
      </c>
      <c r="BR54">
        <v>105.113434</v>
      </c>
      <c r="BS54">
        <v>34.653835000000001</v>
      </c>
      <c r="BT54">
        <v>2.2800000000000001E-4</v>
      </c>
      <c r="BU54">
        <v>42.012821000000002</v>
      </c>
      <c r="BV54">
        <v>6.249352</v>
      </c>
      <c r="BW54">
        <v>1.337912</v>
      </c>
      <c r="BX54">
        <v>14.597904</v>
      </c>
      <c r="BY54">
        <v>36.460461000000002</v>
      </c>
      <c r="BZ54">
        <v>0.50055899999999998</v>
      </c>
      <c r="CA54">
        <v>2020</v>
      </c>
      <c r="CB54">
        <v>1</v>
      </c>
      <c r="CC54">
        <v>19</v>
      </c>
      <c r="CD54">
        <v>20</v>
      </c>
      <c r="CE54">
        <v>25</v>
      </c>
      <c r="CF54">
        <v>49.670001999999997</v>
      </c>
      <c r="CG54">
        <v>2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0.177339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25">
      <c r="A55">
        <v>54</v>
      </c>
      <c r="B55" t="s">
        <v>181</v>
      </c>
      <c r="C55">
        <v>58867.937182000001</v>
      </c>
      <c r="D55">
        <v>299.03353900000002</v>
      </c>
      <c r="E55" s="3" t="s">
        <v>153</v>
      </c>
      <c r="F55" s="3" t="s">
        <v>154</v>
      </c>
      <c r="G55">
        <v>-2.073798</v>
      </c>
      <c r="H55">
        <v>118.29186199999999</v>
      </c>
      <c r="I55">
        <v>24.095766000000001</v>
      </c>
      <c r="J55">
        <v>118.519035</v>
      </c>
      <c r="K55">
        <v>22.451653</v>
      </c>
      <c r="L55">
        <v>116.194954</v>
      </c>
      <c r="M55">
        <v>1.5708230000000001</v>
      </c>
      <c r="N55">
        <v>23.898713999999998</v>
      </c>
      <c r="O55">
        <v>23.898713999999998</v>
      </c>
      <c r="P55">
        <v>21.003477</v>
      </c>
      <c r="Q55">
        <v>37.609054999999998</v>
      </c>
      <c r="R55">
        <v>2.2814130000000001</v>
      </c>
      <c r="S55">
        <v>0.61923700000000004</v>
      </c>
      <c r="T55">
        <v>0.72857300000000003</v>
      </c>
      <c r="U55">
        <v>3.4473120000000002</v>
      </c>
      <c r="V55">
        <v>263.06951900000001</v>
      </c>
      <c r="W55">
        <v>299.03433200000001</v>
      </c>
      <c r="X55">
        <v>1.0515570000000001</v>
      </c>
      <c r="Y55" t="s">
        <v>182</v>
      </c>
      <c r="Z55">
        <v>3.491949</v>
      </c>
      <c r="AA55">
        <v>8.6805339999999998</v>
      </c>
      <c r="AB55">
        <v>-1</v>
      </c>
      <c r="AC55">
        <v>5.6713480000000001</v>
      </c>
      <c r="AD55">
        <v>1.08</v>
      </c>
      <c r="AE55">
        <v>5.2409999999999997</v>
      </c>
      <c r="AF55">
        <v>0</v>
      </c>
      <c r="AG55">
        <v>260.12115499999999</v>
      </c>
      <c r="AH55">
        <v>60.365600999999998</v>
      </c>
      <c r="AI55">
        <v>303.940674</v>
      </c>
      <c r="AJ55">
        <v>-24.465712</v>
      </c>
      <c r="AK55">
        <v>152.97001599999999</v>
      </c>
      <c r="AL55">
        <v>9.5230949999999996</v>
      </c>
      <c r="AM55">
        <v>109.454262</v>
      </c>
      <c r="AN55">
        <v>26.951349</v>
      </c>
      <c r="AO55">
        <v>0.65551499999999996</v>
      </c>
      <c r="AP55">
        <v>50.338585000000002</v>
      </c>
      <c r="AQ55">
        <v>81.384322999999995</v>
      </c>
      <c r="AR55">
        <v>174.01771500000001</v>
      </c>
      <c r="AS55">
        <v>36.108376</v>
      </c>
      <c r="AT55">
        <v>6.5777489999999998</v>
      </c>
      <c r="AU55">
        <v>158.002197</v>
      </c>
      <c r="AV55">
        <v>6.8106059999999999</v>
      </c>
      <c r="AW55">
        <v>0.53530299999999997</v>
      </c>
      <c r="AX55">
        <v>50.428322000000001</v>
      </c>
      <c r="AY55">
        <v>59.290188000000001</v>
      </c>
      <c r="AZ55">
        <v>153.91864000000001</v>
      </c>
      <c r="BA55">
        <v>41.779724000000002</v>
      </c>
      <c r="BB55">
        <v>7.4412649999999996</v>
      </c>
      <c r="BC55">
        <v>25.810614000000001</v>
      </c>
      <c r="BD55">
        <v>139.24316400000001</v>
      </c>
      <c r="BE55">
        <v>58.756247999999999</v>
      </c>
      <c r="BF55">
        <v>57.541930999999998</v>
      </c>
      <c r="BG55">
        <v>55.991852000000002</v>
      </c>
      <c r="BH55">
        <v>55</v>
      </c>
      <c r="BI55">
        <v>53</v>
      </c>
      <c r="BJ55">
        <v>3.6363639999999999</v>
      </c>
      <c r="BK55">
        <v>24</v>
      </c>
      <c r="BL55">
        <v>1.5679999999999999E-2</v>
      </c>
      <c r="BM55">
        <v>5.0800000000000003E-3</v>
      </c>
      <c r="BN55">
        <v>-1</v>
      </c>
      <c r="BO55">
        <v>3</v>
      </c>
      <c r="BP55">
        <v>1</v>
      </c>
      <c r="BQ55">
        <v>0.119995</v>
      </c>
      <c r="BR55">
        <v>27.946843999999999</v>
      </c>
      <c r="BS55">
        <v>11.208545000000001</v>
      </c>
      <c r="BT55">
        <v>4.17E-4</v>
      </c>
      <c r="BU55">
        <v>19.382755</v>
      </c>
      <c r="BV55">
        <v>2.5172409999999998</v>
      </c>
      <c r="BW55">
        <v>1.6573040000000001</v>
      </c>
      <c r="BX55">
        <v>0.62021499999999996</v>
      </c>
      <c r="BY55">
        <v>4.7889400000000002</v>
      </c>
      <c r="BZ55">
        <v>0.84656200000000004</v>
      </c>
      <c r="CA55">
        <v>2020</v>
      </c>
      <c r="CB55">
        <v>1</v>
      </c>
      <c r="CC55">
        <v>19</v>
      </c>
      <c r="CD55">
        <v>22</v>
      </c>
      <c r="CE55">
        <v>29</v>
      </c>
      <c r="CF55">
        <v>32.530003000000001</v>
      </c>
      <c r="CG55">
        <v>2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0.43832500000000002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25">
      <c r="A56">
        <v>55</v>
      </c>
      <c r="B56" t="s">
        <v>183</v>
      </c>
      <c r="C56">
        <v>58868.028426999997</v>
      </c>
      <c r="D56">
        <v>299.12643400000002</v>
      </c>
      <c r="E56" s="2" t="s">
        <v>122</v>
      </c>
      <c r="F56" s="2" t="s">
        <v>143</v>
      </c>
      <c r="G56">
        <v>-1.503571</v>
      </c>
      <c r="H56">
        <v>194.71729999999999</v>
      </c>
      <c r="I56">
        <v>10.828212000000001</v>
      </c>
      <c r="J56">
        <v>194.892212</v>
      </c>
      <c r="K56">
        <v>10.544373999999999</v>
      </c>
      <c r="L56">
        <v>189.50245699999999</v>
      </c>
      <c r="M56">
        <v>15.568614999999999</v>
      </c>
      <c r="N56">
        <v>77.506065000000007</v>
      </c>
      <c r="O56">
        <v>77.506065000000007</v>
      </c>
      <c r="P56">
        <v>76.438843000000006</v>
      </c>
      <c r="Q56">
        <v>50.522551999999997</v>
      </c>
      <c r="R56">
        <v>-1.1840189999999999</v>
      </c>
      <c r="S56">
        <v>0.795686</v>
      </c>
      <c r="T56">
        <v>1.6720219999999999</v>
      </c>
      <c r="U56">
        <v>0</v>
      </c>
      <c r="V56">
        <v>226.02937299999999</v>
      </c>
      <c r="W56">
        <v>299.12640399999998</v>
      </c>
      <c r="X56">
        <v>152.305038</v>
      </c>
      <c r="Y56" t="s">
        <v>114</v>
      </c>
      <c r="Z56">
        <v>-1</v>
      </c>
      <c r="AA56">
        <v>-1</v>
      </c>
      <c r="AB56">
        <v>-0.1</v>
      </c>
      <c r="AC56">
        <v>2.763585</v>
      </c>
      <c r="AD56">
        <v>0.12</v>
      </c>
      <c r="AE56">
        <v>19.132999000000002</v>
      </c>
      <c r="AF56">
        <v>0</v>
      </c>
      <c r="AG56">
        <v>15.299576</v>
      </c>
      <c r="AH56">
        <v>79.171242000000007</v>
      </c>
      <c r="AI56">
        <v>344.16134599999998</v>
      </c>
      <c r="AJ56">
        <v>-37.686988999999997</v>
      </c>
      <c r="AK56">
        <v>98.011229999999998</v>
      </c>
      <c r="AL56">
        <v>-1.3900889999999999</v>
      </c>
      <c r="AM56">
        <v>214.975967</v>
      </c>
      <c r="AN56">
        <v>30.426742999999998</v>
      </c>
      <c r="AO56">
        <v>357.44149800000002</v>
      </c>
      <c r="AP56">
        <v>51.559165999999998</v>
      </c>
      <c r="AQ56">
        <v>98.255324999999999</v>
      </c>
      <c r="AR56">
        <v>190.193893</v>
      </c>
      <c r="AS56">
        <v>96.847115000000002</v>
      </c>
      <c r="AT56">
        <v>59.079307999999997</v>
      </c>
      <c r="AU56">
        <v>95.294594000000004</v>
      </c>
      <c r="AV56">
        <v>-1.903346</v>
      </c>
      <c r="AW56">
        <v>357.32098400000001</v>
      </c>
      <c r="AX56">
        <v>51.572952000000001</v>
      </c>
      <c r="AY56">
        <v>94.780045000000001</v>
      </c>
      <c r="AZ56">
        <v>191.52548200000001</v>
      </c>
      <c r="BA56">
        <v>99.610703000000001</v>
      </c>
      <c r="BB56">
        <v>58.420566999999998</v>
      </c>
      <c r="BC56">
        <v>9.3007279999999994</v>
      </c>
      <c r="BD56">
        <v>100.38565800000001</v>
      </c>
      <c r="BE56">
        <v>21.74061</v>
      </c>
      <c r="BF56">
        <v>22.319386999999999</v>
      </c>
      <c r="BG56">
        <v>21.989262</v>
      </c>
      <c r="BH56">
        <v>7</v>
      </c>
      <c r="BI56">
        <v>7</v>
      </c>
      <c r="BJ56">
        <v>0</v>
      </c>
      <c r="BK56">
        <v>60</v>
      </c>
      <c r="BL56">
        <v>1.9099999999999999E-2</v>
      </c>
      <c r="BM56">
        <v>9.7000000000000003E-3</v>
      </c>
      <c r="BN56">
        <v>-1</v>
      </c>
      <c r="BO56">
        <v>3</v>
      </c>
      <c r="BP56">
        <v>1</v>
      </c>
      <c r="BQ56">
        <v>1.3299970000000001</v>
      </c>
      <c r="BR56">
        <v>197.04688999999999</v>
      </c>
      <c r="BS56">
        <v>59.773479000000002</v>
      </c>
      <c r="BT56">
        <v>4.3949999999999996E-3</v>
      </c>
      <c r="BU56">
        <v>28.160612</v>
      </c>
      <c r="BV56">
        <v>6.0928180000000003</v>
      </c>
      <c r="BW56">
        <v>0.33182200000000001</v>
      </c>
      <c r="BX56">
        <v>0.949708</v>
      </c>
      <c r="BY56">
        <v>1.114792</v>
      </c>
      <c r="BZ56">
        <v>4.514E-2</v>
      </c>
      <c r="CA56">
        <v>2020</v>
      </c>
      <c r="CB56">
        <v>1</v>
      </c>
      <c r="CC56">
        <v>20</v>
      </c>
      <c r="CD56">
        <v>0</v>
      </c>
      <c r="CE56">
        <v>40</v>
      </c>
      <c r="CF56">
        <v>56.089995999999999</v>
      </c>
      <c r="CG56">
        <v>2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-0.84458100000000003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25">
      <c r="A57">
        <v>56</v>
      </c>
      <c r="B57" t="s">
        <v>184</v>
      </c>
      <c r="C57">
        <v>58868.040179000003</v>
      </c>
      <c r="D57">
        <v>299.138397</v>
      </c>
      <c r="E57" s="2" t="s">
        <v>106</v>
      </c>
      <c r="F57" s="2" t="s">
        <v>143</v>
      </c>
      <c r="G57">
        <v>-1.266124</v>
      </c>
      <c r="H57">
        <v>119.450851</v>
      </c>
      <c r="I57">
        <v>17.067824999999999</v>
      </c>
      <c r="J57">
        <v>118.362396</v>
      </c>
      <c r="K57">
        <v>15.186064999999999</v>
      </c>
      <c r="L57">
        <v>117.429039</v>
      </c>
      <c r="M57">
        <v>-5.590992</v>
      </c>
      <c r="N57">
        <v>25.814343999999998</v>
      </c>
      <c r="O57">
        <v>25.814343999999998</v>
      </c>
      <c r="P57">
        <v>23.339034999999999</v>
      </c>
      <c r="Q57">
        <v>38.682116999999998</v>
      </c>
      <c r="R57">
        <v>2.889961</v>
      </c>
      <c r="S57">
        <v>0.58534200000000003</v>
      </c>
      <c r="T57">
        <v>0.79745699999999997</v>
      </c>
      <c r="U57">
        <v>4.9148759999999996</v>
      </c>
      <c r="V57">
        <v>85.012092999999993</v>
      </c>
      <c r="W57">
        <v>119.138153</v>
      </c>
      <c r="X57">
        <v>4.2013579999999999</v>
      </c>
      <c r="Y57" t="s">
        <v>114</v>
      </c>
      <c r="Z57">
        <v>-1</v>
      </c>
      <c r="AA57">
        <v>-1</v>
      </c>
      <c r="AB57">
        <v>-0.3</v>
      </c>
      <c r="AC57">
        <v>8.5222049999999996</v>
      </c>
      <c r="AD57">
        <v>1.02</v>
      </c>
      <c r="AE57">
        <v>8.4960000000000004</v>
      </c>
      <c r="AF57">
        <v>0</v>
      </c>
      <c r="AG57">
        <v>241.238159</v>
      </c>
      <c r="AH57">
        <v>59.764301000000003</v>
      </c>
      <c r="AI57">
        <v>252.50405900000001</v>
      </c>
      <c r="AJ57">
        <v>11.463331999999999</v>
      </c>
      <c r="AK57">
        <v>57.640808</v>
      </c>
      <c r="AL57">
        <v>30.18656</v>
      </c>
      <c r="AM57">
        <v>279.33853099999999</v>
      </c>
      <c r="AN57">
        <v>32.526375000000002</v>
      </c>
      <c r="AO57">
        <v>357.07363900000001</v>
      </c>
      <c r="AP57">
        <v>51.126719999999999</v>
      </c>
      <c r="AQ57">
        <v>88.305251999999996</v>
      </c>
      <c r="AR57">
        <v>162.29115300000001</v>
      </c>
      <c r="AS57">
        <v>57.457123000000003</v>
      </c>
      <c r="AT57">
        <v>33.147998999999999</v>
      </c>
      <c r="AU57">
        <v>47.837299000000002</v>
      </c>
      <c r="AV57">
        <v>29.552315</v>
      </c>
      <c r="AW57">
        <v>357.141571</v>
      </c>
      <c r="AX57">
        <v>51.254055000000001</v>
      </c>
      <c r="AY57">
        <v>66.797370999999998</v>
      </c>
      <c r="AZ57">
        <v>149.780914</v>
      </c>
      <c r="BA57">
        <v>65.979324000000005</v>
      </c>
      <c r="BB57">
        <v>36.332805999999998</v>
      </c>
      <c r="BC57">
        <v>26.330631</v>
      </c>
      <c r="BD57">
        <v>197.937164</v>
      </c>
      <c r="BE57">
        <v>54.836235000000002</v>
      </c>
      <c r="BF57">
        <v>54.612625000000001</v>
      </c>
      <c r="BG57">
        <v>52.535190999999998</v>
      </c>
      <c r="BH57">
        <v>52</v>
      </c>
      <c r="BI57">
        <v>47</v>
      </c>
      <c r="BJ57">
        <v>9.6153849999999998</v>
      </c>
      <c r="BK57">
        <v>54</v>
      </c>
      <c r="BL57">
        <v>2.6169999999999999E-2</v>
      </c>
      <c r="BM57">
        <v>1.056E-2</v>
      </c>
      <c r="BN57">
        <v>-1</v>
      </c>
      <c r="BO57">
        <v>3</v>
      </c>
      <c r="BP57">
        <v>1</v>
      </c>
      <c r="BQ57">
        <v>1.310001</v>
      </c>
      <c r="BR57">
        <v>175.21774300000001</v>
      </c>
      <c r="BS57">
        <v>40.439774</v>
      </c>
      <c r="BT57">
        <v>5.3839999999999999E-3</v>
      </c>
      <c r="BU57">
        <v>78.570587000000003</v>
      </c>
      <c r="BV57">
        <v>17.259726000000001</v>
      </c>
      <c r="BW57">
        <v>2.1527250000000002</v>
      </c>
      <c r="BX57">
        <v>0.32983499999999999</v>
      </c>
      <c r="BY57">
        <v>0.55670699999999995</v>
      </c>
      <c r="BZ57">
        <v>0.96037099999999997</v>
      </c>
      <c r="CA57">
        <v>2020</v>
      </c>
      <c r="CB57">
        <v>1</v>
      </c>
      <c r="CC57">
        <v>20</v>
      </c>
      <c r="CD57">
        <v>0</v>
      </c>
      <c r="CE57">
        <v>57</v>
      </c>
      <c r="CF57">
        <v>51.459999000000003</v>
      </c>
      <c r="CG57">
        <v>2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0.34602500000000003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25">
      <c r="A58">
        <v>57</v>
      </c>
      <c r="B58" t="s">
        <v>185</v>
      </c>
      <c r="C58">
        <v>58868.052365000003</v>
      </c>
      <c r="D58">
        <v>299.15081800000002</v>
      </c>
      <c r="E58" s="2" t="s">
        <v>186</v>
      </c>
      <c r="F58" s="2" t="s">
        <v>122</v>
      </c>
      <c r="G58">
        <v>-2.430196</v>
      </c>
      <c r="H58">
        <v>210.63999899999999</v>
      </c>
      <c r="I58">
        <v>12.508668</v>
      </c>
      <c r="J58">
        <v>210.96444700000001</v>
      </c>
      <c r="K58">
        <v>12.089389000000001</v>
      </c>
      <c r="L58">
        <v>204.28331</v>
      </c>
      <c r="M58">
        <v>23.095053</v>
      </c>
      <c r="N58">
        <v>66.209716999999998</v>
      </c>
      <c r="O58">
        <v>66.209716999999998</v>
      </c>
      <c r="P58">
        <v>64.980346999999995</v>
      </c>
      <c r="Q58">
        <v>39.132275</v>
      </c>
      <c r="R58">
        <v>3.2622409999999999</v>
      </c>
      <c r="S58">
        <v>0.96505600000000002</v>
      </c>
      <c r="T58">
        <v>0.70417399999999997</v>
      </c>
      <c r="U58">
        <v>5.8945259999999999</v>
      </c>
      <c r="V58">
        <v>197.51684599999999</v>
      </c>
      <c r="W58">
        <v>299.15078699999998</v>
      </c>
      <c r="X58">
        <v>138.963043</v>
      </c>
      <c r="Y58" t="s">
        <v>187</v>
      </c>
      <c r="Z58">
        <v>4.8763839999999998</v>
      </c>
      <c r="AA58">
        <v>3.4718909999999998</v>
      </c>
      <c r="AB58">
        <v>-1.6</v>
      </c>
      <c r="AC58">
        <v>4.652298</v>
      </c>
      <c r="AD58">
        <v>0.18</v>
      </c>
      <c r="AE58">
        <v>25.870999999999999</v>
      </c>
      <c r="AF58">
        <v>0</v>
      </c>
      <c r="AG58">
        <v>119.363434</v>
      </c>
      <c r="AH58">
        <v>5.734413</v>
      </c>
      <c r="AI58">
        <v>352.77966300000003</v>
      </c>
      <c r="AJ58">
        <v>-37.565392000000003</v>
      </c>
      <c r="AK58">
        <v>349.92666600000001</v>
      </c>
      <c r="AL58">
        <v>81.016723999999996</v>
      </c>
      <c r="AM58">
        <v>352.828644</v>
      </c>
      <c r="AN58">
        <v>43.985988999999996</v>
      </c>
      <c r="AO58">
        <v>356.50259399999999</v>
      </c>
      <c r="AP58">
        <v>52.376102000000003</v>
      </c>
      <c r="AQ58">
        <v>102.802948</v>
      </c>
      <c r="AR58">
        <v>146.913376</v>
      </c>
      <c r="AS58">
        <v>84.353881999999999</v>
      </c>
      <c r="AT58">
        <v>63.602730000000001</v>
      </c>
      <c r="AU58">
        <v>3.36605</v>
      </c>
      <c r="AV58">
        <v>77.096412999999998</v>
      </c>
      <c r="AW58">
        <v>356.33908100000002</v>
      </c>
      <c r="AX58">
        <v>52.381134000000003</v>
      </c>
      <c r="AY58">
        <v>99.096412999999998</v>
      </c>
      <c r="AZ58">
        <v>146.22262599999999</v>
      </c>
      <c r="BA58">
        <v>89.006180000000001</v>
      </c>
      <c r="BB58">
        <v>64.153380999999996</v>
      </c>
      <c r="BC58">
        <v>11.917749000000001</v>
      </c>
      <c r="BD58">
        <v>92.870956000000007</v>
      </c>
      <c r="BE58">
        <v>17.945979999999999</v>
      </c>
      <c r="BF58">
        <v>18.110004</v>
      </c>
      <c r="BG58">
        <v>17.584848000000001</v>
      </c>
      <c r="BH58">
        <v>10</v>
      </c>
      <c r="BI58">
        <v>10</v>
      </c>
      <c r="BJ58">
        <v>0</v>
      </c>
      <c r="BK58">
        <v>0</v>
      </c>
      <c r="BL58">
        <v>0.1</v>
      </c>
      <c r="BM58">
        <v>6.6899999999999998E-3</v>
      </c>
      <c r="BN58">
        <v>-1</v>
      </c>
      <c r="BO58">
        <v>3</v>
      </c>
      <c r="BP58">
        <v>1</v>
      </c>
      <c r="BQ58">
        <v>0.05</v>
      </c>
      <c r="BR58">
        <v>203.55967699999999</v>
      </c>
      <c r="BS58">
        <v>64.171181000000004</v>
      </c>
      <c r="BT58">
        <v>1.6899999999999999E-4</v>
      </c>
      <c r="BU58">
        <v>-7.6624509999999999</v>
      </c>
      <c r="BV58">
        <v>11.851470000000001</v>
      </c>
      <c r="BW58">
        <v>0.52562699999999996</v>
      </c>
      <c r="BX58">
        <v>2.170471</v>
      </c>
      <c r="BY58">
        <v>2.4117299999999999</v>
      </c>
      <c r="BZ58">
        <v>0.92378300000000002</v>
      </c>
      <c r="CA58">
        <v>2020</v>
      </c>
      <c r="CB58">
        <v>1</v>
      </c>
      <c r="CC58">
        <v>20</v>
      </c>
      <c r="CD58">
        <v>1</v>
      </c>
      <c r="CE58">
        <v>15</v>
      </c>
      <c r="CF58">
        <v>24.319997999999998</v>
      </c>
      <c r="CG58">
        <v>2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0.30653799999999998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25">
      <c r="A59">
        <v>58</v>
      </c>
      <c r="B59" t="s">
        <v>188</v>
      </c>
      <c r="C59">
        <v>58868.054783</v>
      </c>
      <c r="D59">
        <v>299.15325899999999</v>
      </c>
      <c r="E59" s="2" t="s">
        <v>106</v>
      </c>
      <c r="F59" s="2" t="s">
        <v>143</v>
      </c>
      <c r="G59">
        <v>-2.7561309999999999</v>
      </c>
      <c r="H59">
        <v>164.587357</v>
      </c>
      <c r="I59">
        <v>-10.104124000000001</v>
      </c>
      <c r="J59">
        <v>164.54203799999999</v>
      </c>
      <c r="K59">
        <v>-10.730019</v>
      </c>
      <c r="L59">
        <v>170.044678</v>
      </c>
      <c r="M59">
        <v>-15.960633</v>
      </c>
      <c r="N59">
        <v>60.803505000000001</v>
      </c>
      <c r="O59">
        <v>60.803505000000001</v>
      </c>
      <c r="P59">
        <v>59.634349999999998</v>
      </c>
      <c r="Q59">
        <v>42.050632</v>
      </c>
      <c r="R59">
        <v>25.334229000000001</v>
      </c>
      <c r="S59">
        <v>0.25830500000000001</v>
      </c>
      <c r="T59">
        <v>0.98980400000000002</v>
      </c>
      <c r="U59">
        <v>127.566391</v>
      </c>
      <c r="V59">
        <v>118.85129499999999</v>
      </c>
      <c r="W59">
        <v>119.15329</v>
      </c>
      <c r="X59">
        <v>130.91951</v>
      </c>
      <c r="Y59" t="s">
        <v>114</v>
      </c>
      <c r="Z59">
        <v>-1</v>
      </c>
      <c r="AA59">
        <v>-1</v>
      </c>
      <c r="AB59">
        <v>-2.6</v>
      </c>
      <c r="AC59">
        <v>22.184359000000001</v>
      </c>
      <c r="AD59">
        <v>0.68</v>
      </c>
      <c r="AE59">
        <v>32.918998999999999</v>
      </c>
      <c r="AF59">
        <v>0</v>
      </c>
      <c r="AG59">
        <v>67.777389999999997</v>
      </c>
      <c r="AH59">
        <v>-33.640141</v>
      </c>
      <c r="AI59">
        <v>292.56152300000002</v>
      </c>
      <c r="AJ59">
        <v>-18.296907000000001</v>
      </c>
      <c r="AK59">
        <v>105.882935</v>
      </c>
      <c r="AL59">
        <v>49.780994</v>
      </c>
      <c r="AM59">
        <v>278.87091099999998</v>
      </c>
      <c r="AN59">
        <v>70.116127000000006</v>
      </c>
      <c r="AO59">
        <v>358.468414</v>
      </c>
      <c r="AP59">
        <v>50.992561000000002</v>
      </c>
      <c r="AQ59">
        <v>101.23737300000001</v>
      </c>
      <c r="AR59">
        <v>107.53789500000001</v>
      </c>
      <c r="AS59">
        <v>78.682036999999994</v>
      </c>
      <c r="AT59">
        <v>71.524338</v>
      </c>
      <c r="AU59">
        <v>70.120604999999998</v>
      </c>
      <c r="AV59">
        <v>56.337752999999999</v>
      </c>
      <c r="AW59">
        <v>358.202606</v>
      </c>
      <c r="AX59">
        <v>51.281180999999997</v>
      </c>
      <c r="AY59">
        <v>84.254807</v>
      </c>
      <c r="AZ59">
        <v>107.371864</v>
      </c>
      <c r="BA59">
        <v>100.866394</v>
      </c>
      <c r="BB59">
        <v>71.791359</v>
      </c>
      <c r="BC59">
        <v>41.346381999999998</v>
      </c>
      <c r="BD59">
        <v>149.837875</v>
      </c>
      <c r="BE59">
        <v>24.234065999999999</v>
      </c>
      <c r="BF59">
        <v>24.441400999999999</v>
      </c>
      <c r="BG59">
        <v>23.861736000000001</v>
      </c>
      <c r="BH59">
        <v>35</v>
      </c>
      <c r="BI59">
        <v>35</v>
      </c>
      <c r="BJ59">
        <v>0</v>
      </c>
      <c r="BK59">
        <v>53</v>
      </c>
      <c r="BL59">
        <v>2.844E-2</v>
      </c>
      <c r="BM59">
        <v>7.2700000000000004E-3</v>
      </c>
      <c r="BN59">
        <v>-1</v>
      </c>
      <c r="BO59">
        <v>2</v>
      </c>
      <c r="BP59">
        <v>1</v>
      </c>
      <c r="BQ59">
        <v>1.3500030000000001</v>
      </c>
      <c r="BR59">
        <v>175.21774300000001</v>
      </c>
      <c r="BS59">
        <v>75.300194000000005</v>
      </c>
      <c r="BT59">
        <v>5.3309999999999998E-3</v>
      </c>
      <c r="BU59">
        <v>91.692931999999999</v>
      </c>
      <c r="BV59">
        <v>0.90301799999999999</v>
      </c>
      <c r="BW59">
        <v>0.62748000000000004</v>
      </c>
      <c r="BX59">
        <v>0.139461</v>
      </c>
      <c r="BY59">
        <v>0.146813</v>
      </c>
      <c r="BZ59">
        <v>0.79315800000000003</v>
      </c>
      <c r="CA59">
        <v>2020</v>
      </c>
      <c r="CB59">
        <v>1</v>
      </c>
      <c r="CC59">
        <v>20</v>
      </c>
      <c r="CD59">
        <v>1</v>
      </c>
      <c r="CE59">
        <v>18</v>
      </c>
      <c r="CF59">
        <v>53.249996000000003</v>
      </c>
      <c r="CG59">
        <v>2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3.9472E-2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25">
      <c r="A60">
        <v>59</v>
      </c>
      <c r="B60" t="s">
        <v>189</v>
      </c>
      <c r="C60">
        <v>58868.089144999998</v>
      </c>
      <c r="D60">
        <v>299.18826300000001</v>
      </c>
      <c r="E60" s="2" t="s">
        <v>107</v>
      </c>
      <c r="F60" s="2" t="s">
        <v>143</v>
      </c>
      <c r="G60">
        <v>0.247866</v>
      </c>
      <c r="H60">
        <v>108.837029</v>
      </c>
      <c r="I60">
        <v>63.797587999999998</v>
      </c>
      <c r="J60">
        <v>100.84732099999999</v>
      </c>
      <c r="K60">
        <v>63.621428999999999</v>
      </c>
      <c r="L60">
        <v>96.305633999999998</v>
      </c>
      <c r="M60">
        <v>40.421973999999999</v>
      </c>
      <c r="N60">
        <v>18.314426000000001</v>
      </c>
      <c r="O60">
        <v>18.314426000000001</v>
      </c>
      <c r="P60">
        <v>14.612382</v>
      </c>
      <c r="Q60">
        <v>37.268138999999998</v>
      </c>
      <c r="R60">
        <v>2.1409959999999999</v>
      </c>
      <c r="S60">
        <v>0.88515299999999997</v>
      </c>
      <c r="T60">
        <v>0.58656900000000001</v>
      </c>
      <c r="U60">
        <v>3.1339959999999998</v>
      </c>
      <c r="V60">
        <v>223.23864699999999</v>
      </c>
      <c r="W60">
        <v>299.18832400000002</v>
      </c>
      <c r="X60">
        <v>15.312825999999999</v>
      </c>
      <c r="Y60" t="s">
        <v>114</v>
      </c>
      <c r="Z60">
        <v>-1</v>
      </c>
      <c r="AA60">
        <v>-1</v>
      </c>
      <c r="AB60">
        <v>0.3</v>
      </c>
      <c r="AC60">
        <v>1.947322</v>
      </c>
      <c r="AD60">
        <v>0.28000000000000003</v>
      </c>
      <c r="AE60">
        <v>7.141</v>
      </c>
      <c r="AF60">
        <v>0</v>
      </c>
      <c r="AG60">
        <v>349.16204800000003</v>
      </c>
      <c r="AH60">
        <v>13.692501999999999</v>
      </c>
      <c r="AI60">
        <v>123.367439</v>
      </c>
      <c r="AJ60">
        <v>25.331755000000001</v>
      </c>
      <c r="AK60">
        <v>224.98744199999999</v>
      </c>
      <c r="AL60">
        <v>66.552040000000005</v>
      </c>
      <c r="AM60">
        <v>37.211143</v>
      </c>
      <c r="AN60">
        <v>49.924332</v>
      </c>
      <c r="AO60">
        <v>357.35211199999998</v>
      </c>
      <c r="AP60">
        <v>51.163887000000003</v>
      </c>
      <c r="AQ60">
        <v>80.326614000000006</v>
      </c>
      <c r="AR60">
        <v>104.312912</v>
      </c>
      <c r="AS60">
        <v>41.779667000000003</v>
      </c>
      <c r="AT60">
        <v>37.927684999999997</v>
      </c>
      <c r="AU60">
        <v>227.72505200000001</v>
      </c>
      <c r="AV60">
        <v>64.961455999999998</v>
      </c>
      <c r="AW60">
        <v>357.37246699999997</v>
      </c>
      <c r="AX60">
        <v>51.150199999999998</v>
      </c>
      <c r="AY60">
        <v>75.648087000000004</v>
      </c>
      <c r="AZ60">
        <v>100.546936</v>
      </c>
      <c r="BA60">
        <v>43.726990000000001</v>
      </c>
      <c r="BB60">
        <v>39.619686000000002</v>
      </c>
      <c r="BC60">
        <v>5.1280390000000002</v>
      </c>
      <c r="BD60">
        <v>316.64209</v>
      </c>
      <c r="BE60">
        <v>66.052527999999995</v>
      </c>
      <c r="BF60">
        <v>65.949364000000003</v>
      </c>
      <c r="BG60">
        <v>62.496059000000002</v>
      </c>
      <c r="BH60">
        <v>15</v>
      </c>
      <c r="BI60">
        <v>11</v>
      </c>
      <c r="BJ60">
        <v>26.666665999999999</v>
      </c>
      <c r="BK60">
        <v>0</v>
      </c>
      <c r="BL60">
        <v>0.1</v>
      </c>
      <c r="BM60">
        <v>1.491E-2</v>
      </c>
      <c r="BN60">
        <v>-1</v>
      </c>
      <c r="BO60">
        <v>3</v>
      </c>
      <c r="BP60">
        <v>1</v>
      </c>
      <c r="BQ60">
        <v>1.7700070000000001</v>
      </c>
      <c r="BR60">
        <v>96.181076000000004</v>
      </c>
      <c r="BS60">
        <v>67.301986999999997</v>
      </c>
      <c r="BT60">
        <v>6.6480000000000003E-3</v>
      </c>
      <c r="BU60">
        <v>29.091491999999999</v>
      </c>
      <c r="BV60">
        <v>1.425362</v>
      </c>
      <c r="BW60">
        <v>3.5408819999999999</v>
      </c>
      <c r="BX60">
        <v>2.5277069999999999</v>
      </c>
      <c r="BY60">
        <v>3.963857</v>
      </c>
      <c r="BZ60">
        <v>0.83061799999999997</v>
      </c>
      <c r="CA60">
        <v>2020</v>
      </c>
      <c r="CB60">
        <v>1</v>
      </c>
      <c r="CC60">
        <v>20</v>
      </c>
      <c r="CD60">
        <v>2</v>
      </c>
      <c r="CE60">
        <v>8</v>
      </c>
      <c r="CF60">
        <v>22.149996000000002</v>
      </c>
      <c r="CG60">
        <v>2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0.46707199999999999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25">
      <c r="A61">
        <v>60</v>
      </c>
      <c r="B61" t="s">
        <v>190</v>
      </c>
      <c r="C61">
        <v>58868.120857000002</v>
      </c>
      <c r="D61">
        <v>299.220551</v>
      </c>
      <c r="E61" s="3" t="s">
        <v>107</v>
      </c>
      <c r="F61" s="3" t="s">
        <v>191</v>
      </c>
      <c r="G61">
        <v>1.4173279999999999</v>
      </c>
      <c r="H61">
        <v>212.30212399999999</v>
      </c>
      <c r="I61">
        <v>25.591947999999999</v>
      </c>
      <c r="J61">
        <v>214.48065199999999</v>
      </c>
      <c r="K61">
        <v>23.177826</v>
      </c>
      <c r="L61">
        <v>202.95481899999999</v>
      </c>
      <c r="M61">
        <v>34.618572</v>
      </c>
      <c r="N61">
        <v>22.441669000000001</v>
      </c>
      <c r="O61">
        <v>22.441669000000001</v>
      </c>
      <c r="P61">
        <v>19.214727</v>
      </c>
      <c r="Q61">
        <v>18.262083000000001</v>
      </c>
      <c r="R61">
        <v>0.60358699999999998</v>
      </c>
      <c r="S61">
        <v>0.22111600000000001</v>
      </c>
      <c r="T61">
        <v>0.63366400000000001</v>
      </c>
      <c r="U61">
        <v>0.46912100000000001</v>
      </c>
      <c r="V61">
        <v>357.12322999999998</v>
      </c>
      <c r="W61">
        <v>299.22058099999998</v>
      </c>
      <c r="X61">
        <v>36.864821999999997</v>
      </c>
      <c r="Y61" t="s">
        <v>114</v>
      </c>
      <c r="Z61">
        <v>-1</v>
      </c>
      <c r="AA61">
        <v>-1</v>
      </c>
      <c r="AB61">
        <v>0.6</v>
      </c>
      <c r="AC61">
        <v>1.455368</v>
      </c>
      <c r="AD61">
        <v>0.08</v>
      </c>
      <c r="AE61">
        <v>19.756001000000001</v>
      </c>
      <c r="AF61">
        <v>0</v>
      </c>
      <c r="AG61">
        <v>119.885895</v>
      </c>
      <c r="AH61">
        <v>5.0304159999999998</v>
      </c>
      <c r="AI61">
        <v>343.32961999999998</v>
      </c>
      <c r="AJ61">
        <v>-38.073689000000002</v>
      </c>
      <c r="AK61">
        <v>6.7964650000000004</v>
      </c>
      <c r="AL61">
        <v>77.315201000000002</v>
      </c>
      <c r="AM61">
        <v>352.44793700000002</v>
      </c>
      <c r="AN61">
        <v>39.287441000000001</v>
      </c>
      <c r="AO61">
        <v>356.68145800000002</v>
      </c>
      <c r="AP61">
        <v>51.161724</v>
      </c>
      <c r="AQ61">
        <v>43.796177</v>
      </c>
      <c r="AR61">
        <v>68.847785999999999</v>
      </c>
      <c r="AS61">
        <v>75.955665999999994</v>
      </c>
      <c r="AT61">
        <v>52.196677999999999</v>
      </c>
      <c r="AU61">
        <v>9.2724449999999994</v>
      </c>
      <c r="AV61">
        <v>75.976578000000003</v>
      </c>
      <c r="AW61">
        <v>356.66293300000001</v>
      </c>
      <c r="AX61">
        <v>51.163871999999998</v>
      </c>
      <c r="AY61">
        <v>42.587913999999998</v>
      </c>
      <c r="AZ61">
        <v>68.418662999999995</v>
      </c>
      <c r="BA61">
        <v>77.410911999999996</v>
      </c>
      <c r="BB61">
        <v>52.662350000000004</v>
      </c>
      <c r="BC61">
        <v>1.795334</v>
      </c>
      <c r="BD61">
        <v>101.660698</v>
      </c>
      <c r="BE61">
        <v>42.300204999999998</v>
      </c>
      <c r="BF61">
        <v>42.455891000000001</v>
      </c>
      <c r="BG61">
        <v>39.336880000000001</v>
      </c>
      <c r="BH61">
        <v>5</v>
      </c>
      <c r="BI61">
        <v>5</v>
      </c>
      <c r="BJ61">
        <v>0</v>
      </c>
      <c r="BK61">
        <v>59</v>
      </c>
      <c r="BL61">
        <v>4.2360000000000002E-2</v>
      </c>
      <c r="BM61">
        <v>1.7160000000000002E-2</v>
      </c>
      <c r="BN61">
        <v>-1</v>
      </c>
      <c r="BO61">
        <v>3</v>
      </c>
      <c r="BP61">
        <v>1</v>
      </c>
      <c r="BQ61">
        <v>0.93999699999999997</v>
      </c>
      <c r="BR61">
        <v>102.977203</v>
      </c>
      <c r="BS61">
        <v>54.548634</v>
      </c>
      <c r="BT61">
        <v>0.97060199999999996</v>
      </c>
      <c r="BU61">
        <v>-116.410065</v>
      </c>
      <c r="BV61">
        <v>99.225562999999994</v>
      </c>
      <c r="BW61">
        <v>3.124733</v>
      </c>
      <c r="BX61">
        <v>3.2669869999999999</v>
      </c>
      <c r="BY61">
        <v>4.1090299999999997</v>
      </c>
      <c r="BZ61">
        <v>0.87307599999999996</v>
      </c>
      <c r="CA61">
        <v>2020</v>
      </c>
      <c r="CB61">
        <v>1</v>
      </c>
      <c r="CC61">
        <v>20</v>
      </c>
      <c r="CD61">
        <v>2</v>
      </c>
      <c r="CE61">
        <v>54</v>
      </c>
      <c r="CF61">
        <v>2.0300050000000001</v>
      </c>
      <c r="CG61">
        <v>2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1.6567609999999999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25">
      <c r="A62">
        <v>61</v>
      </c>
      <c r="B62" t="s">
        <v>192</v>
      </c>
      <c r="C62">
        <v>58868.160753999997</v>
      </c>
      <c r="D62">
        <v>299.261169</v>
      </c>
      <c r="E62" s="3" t="s">
        <v>186</v>
      </c>
      <c r="F62" s="3" t="s">
        <v>125</v>
      </c>
      <c r="G62">
        <v>-0.742757</v>
      </c>
      <c r="H62">
        <v>171.19132999999999</v>
      </c>
      <c r="I62">
        <v>31.222442999999998</v>
      </c>
      <c r="J62">
        <v>170.693207</v>
      </c>
      <c r="K62">
        <v>30.808250000000001</v>
      </c>
      <c r="L62">
        <v>158.65954600000001</v>
      </c>
      <c r="M62">
        <v>24.498384000000001</v>
      </c>
      <c r="N62">
        <v>41.453578999999998</v>
      </c>
      <c r="O62">
        <v>41.453578999999998</v>
      </c>
      <c r="P62">
        <v>39.929405000000003</v>
      </c>
      <c r="Q62">
        <v>33.257874000000001</v>
      </c>
      <c r="R62">
        <v>1.27247</v>
      </c>
      <c r="S62">
        <v>0.19251299999999999</v>
      </c>
      <c r="T62">
        <v>0.84870900000000005</v>
      </c>
      <c r="U62">
        <v>1.4359729999999999</v>
      </c>
      <c r="V62">
        <v>318.769318</v>
      </c>
      <c r="W62">
        <v>299.261169</v>
      </c>
      <c r="X62">
        <v>66.460425999999998</v>
      </c>
      <c r="Y62" t="s">
        <v>165</v>
      </c>
      <c r="Z62">
        <v>2.5375209999999999</v>
      </c>
      <c r="AA62">
        <v>0.57206500000000005</v>
      </c>
      <c r="AB62">
        <v>0.1</v>
      </c>
      <c r="AC62">
        <v>9.31114</v>
      </c>
      <c r="AD62">
        <v>0.6</v>
      </c>
      <c r="AE62">
        <v>15.706</v>
      </c>
      <c r="AF62">
        <v>0</v>
      </c>
      <c r="AG62">
        <v>91.605964999999998</v>
      </c>
      <c r="AH62">
        <v>-16.605837000000001</v>
      </c>
      <c r="AI62">
        <v>262.79422</v>
      </c>
      <c r="AJ62">
        <v>2.4859390000000001</v>
      </c>
      <c r="AK62">
        <v>54.321888000000001</v>
      </c>
      <c r="AL62">
        <v>69.452911</v>
      </c>
      <c r="AM62">
        <v>336.79226699999998</v>
      </c>
      <c r="AN62">
        <v>38.877239000000003</v>
      </c>
      <c r="AO62">
        <v>356.02642800000001</v>
      </c>
      <c r="AP62">
        <v>52.403542000000002</v>
      </c>
      <c r="AQ62">
        <v>95.488960000000006</v>
      </c>
      <c r="AR62">
        <v>150.818817</v>
      </c>
      <c r="AS62">
        <v>69.528953999999999</v>
      </c>
      <c r="AT62">
        <v>41.931381000000002</v>
      </c>
      <c r="AU62">
        <v>37.446907000000003</v>
      </c>
      <c r="AV62">
        <v>63.009495000000001</v>
      </c>
      <c r="AW62">
        <v>356.035706</v>
      </c>
      <c r="AX62">
        <v>52.482658000000001</v>
      </c>
      <c r="AY62">
        <v>72.308639999999997</v>
      </c>
      <c r="AZ62">
        <v>144.01771500000001</v>
      </c>
      <c r="BA62">
        <v>78.840087999999994</v>
      </c>
      <c r="BB62">
        <v>44.410727999999999</v>
      </c>
      <c r="BC62">
        <v>24.872149</v>
      </c>
      <c r="BD62">
        <v>183.409424</v>
      </c>
      <c r="BE62">
        <v>68.682304000000002</v>
      </c>
      <c r="BF62">
        <v>69.608031999999994</v>
      </c>
      <c r="BG62">
        <v>69.163917999999995</v>
      </c>
      <c r="BH62">
        <v>31</v>
      </c>
      <c r="BI62">
        <v>30</v>
      </c>
      <c r="BJ62">
        <v>3.225806</v>
      </c>
      <c r="BK62">
        <v>6</v>
      </c>
      <c r="BL62">
        <v>0.15010000000000001</v>
      </c>
      <c r="BM62">
        <v>6.13E-3</v>
      </c>
      <c r="BN62">
        <v>-1</v>
      </c>
      <c r="BO62">
        <v>3</v>
      </c>
      <c r="BP62">
        <v>1</v>
      </c>
      <c r="BQ62">
        <v>8.0004000000000006E-2</v>
      </c>
      <c r="BR62">
        <v>144.843918</v>
      </c>
      <c r="BS62">
        <v>45.502800000000001</v>
      </c>
      <c r="BT62">
        <v>3.3500000000000001E-4</v>
      </c>
      <c r="BU62">
        <v>38.381022999999999</v>
      </c>
      <c r="BV62">
        <v>1.6179749999999999</v>
      </c>
      <c r="BW62">
        <v>0.59481300000000004</v>
      </c>
      <c r="BX62">
        <v>1.7948820000000001</v>
      </c>
      <c r="BY62">
        <v>2.5648610000000001</v>
      </c>
      <c r="BZ62">
        <v>0.91327800000000003</v>
      </c>
      <c r="CA62">
        <v>2020</v>
      </c>
      <c r="CB62">
        <v>1</v>
      </c>
      <c r="CC62">
        <v>20</v>
      </c>
      <c r="CD62">
        <v>3</v>
      </c>
      <c r="CE62">
        <v>51</v>
      </c>
      <c r="CF62">
        <v>29.129995000000001</v>
      </c>
      <c r="CG62">
        <v>2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0.78587300000000004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3" spans="1:105" x14ac:dyDescent="0.25">
      <c r="A63">
        <v>62</v>
      </c>
      <c r="B63" t="s">
        <v>193</v>
      </c>
      <c r="C63">
        <v>58868.163066000001</v>
      </c>
      <c r="D63">
        <v>299.26351899999997</v>
      </c>
      <c r="E63" s="3" t="s">
        <v>194</v>
      </c>
      <c r="F63" s="3" t="s">
        <v>191</v>
      </c>
      <c r="G63">
        <v>-3.0880879999999999</v>
      </c>
      <c r="H63">
        <v>253.46412699999999</v>
      </c>
      <c r="I63">
        <v>38.687164000000003</v>
      </c>
      <c r="J63">
        <v>254.340439</v>
      </c>
      <c r="K63">
        <v>38.255851999999997</v>
      </c>
      <c r="L63">
        <v>244.65368699999999</v>
      </c>
      <c r="M63">
        <v>60.322132000000003</v>
      </c>
      <c r="N63">
        <v>43.059319000000002</v>
      </c>
      <c r="O63">
        <v>43.059319000000002</v>
      </c>
      <c r="P63">
        <v>41.357017999999997</v>
      </c>
      <c r="Q63">
        <v>40.245463999999998</v>
      </c>
      <c r="R63">
        <v>4.832948</v>
      </c>
      <c r="S63">
        <v>0.88634900000000005</v>
      </c>
      <c r="T63">
        <v>0.81660299999999997</v>
      </c>
      <c r="U63">
        <v>10.629011999999999</v>
      </c>
      <c r="V63">
        <v>141.20590200000001</v>
      </c>
      <c r="W63">
        <v>299.26355000000001</v>
      </c>
      <c r="X63">
        <v>69.294349999999994</v>
      </c>
      <c r="Y63" t="s">
        <v>114</v>
      </c>
      <c r="Z63">
        <v>-1</v>
      </c>
      <c r="AA63">
        <v>-1</v>
      </c>
      <c r="AB63">
        <v>-2.37</v>
      </c>
      <c r="AC63">
        <v>23.698035999999998</v>
      </c>
      <c r="AD63">
        <v>1.34</v>
      </c>
      <c r="AE63">
        <v>17.688241999999999</v>
      </c>
      <c r="AF63">
        <v>0</v>
      </c>
      <c r="AG63">
        <v>229.28887900000001</v>
      </c>
      <c r="AH63">
        <v>-48.724442000000003</v>
      </c>
      <c r="AI63">
        <v>22.045731</v>
      </c>
      <c r="AJ63">
        <v>-36.288418</v>
      </c>
      <c r="AK63">
        <v>156.71272300000001</v>
      </c>
      <c r="AL63">
        <v>14.726336999999999</v>
      </c>
      <c r="AM63">
        <v>209.79338100000001</v>
      </c>
      <c r="AN63">
        <v>49.631954</v>
      </c>
      <c r="AO63">
        <v>358.07336400000003</v>
      </c>
      <c r="AP63">
        <v>51.215434999999999</v>
      </c>
      <c r="AQ63">
        <v>103.679695</v>
      </c>
      <c r="AR63">
        <v>135.17877200000001</v>
      </c>
      <c r="AS63">
        <v>85.977798000000007</v>
      </c>
      <c r="AT63">
        <v>51.208252000000002</v>
      </c>
      <c r="AU63">
        <v>138.51242099999999</v>
      </c>
      <c r="AV63">
        <v>-0.68149000000000004</v>
      </c>
      <c r="AW63">
        <v>357.452271</v>
      </c>
      <c r="AX63">
        <v>51.078541000000001</v>
      </c>
      <c r="AY63">
        <v>69.713058000000004</v>
      </c>
      <c r="AZ63">
        <v>143.20732100000001</v>
      </c>
      <c r="BA63">
        <v>109.67583500000001</v>
      </c>
      <c r="BB63">
        <v>47.369067999999999</v>
      </c>
      <c r="BC63">
        <v>57.699489999999997</v>
      </c>
      <c r="BD63">
        <v>70.982246000000004</v>
      </c>
      <c r="BE63">
        <v>36.148353999999998</v>
      </c>
      <c r="BF63">
        <v>36.726878999999997</v>
      </c>
      <c r="BG63">
        <v>35.927658000000001</v>
      </c>
      <c r="BH63">
        <v>41</v>
      </c>
      <c r="BI63">
        <v>2</v>
      </c>
      <c r="BJ63">
        <v>20</v>
      </c>
      <c r="BK63">
        <v>0</v>
      </c>
      <c r="BL63">
        <v>0.1</v>
      </c>
      <c r="BM63">
        <v>0.1</v>
      </c>
      <c r="BN63">
        <v>0</v>
      </c>
      <c r="BO63">
        <v>0</v>
      </c>
      <c r="BP63">
        <v>1</v>
      </c>
      <c r="BQ63">
        <v>0.689998</v>
      </c>
      <c r="BR63">
        <v>118.545776</v>
      </c>
      <c r="BS63">
        <v>51.384597999999997</v>
      </c>
      <c r="BT63">
        <v>2.3210000000000001E-3</v>
      </c>
      <c r="BU63">
        <v>10.695239000000001</v>
      </c>
      <c r="BV63">
        <v>3.2018279999999999</v>
      </c>
      <c r="BW63">
        <v>0.81038699999999997</v>
      </c>
      <c r="BX63">
        <v>0.68481700000000001</v>
      </c>
      <c r="BY63">
        <v>0.93079699999999999</v>
      </c>
      <c r="BZ63">
        <v>0.67761800000000005</v>
      </c>
      <c r="CA63">
        <v>2020</v>
      </c>
      <c r="CB63">
        <v>1</v>
      </c>
      <c r="CC63">
        <v>20</v>
      </c>
      <c r="CD63">
        <v>3</v>
      </c>
      <c r="CE63">
        <v>54</v>
      </c>
      <c r="CF63">
        <v>48.929996000000003</v>
      </c>
      <c r="CG63">
        <v>2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0.20691300000000001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</row>
    <row r="64" spans="1:105" x14ac:dyDescent="0.25">
      <c r="A64">
        <v>63</v>
      </c>
      <c r="B64" t="s">
        <v>195</v>
      </c>
      <c r="C64">
        <v>58868.186956999998</v>
      </c>
      <c r="D64">
        <v>299.28784200000001</v>
      </c>
      <c r="E64" s="3" t="s">
        <v>107</v>
      </c>
      <c r="F64" s="3" t="s">
        <v>186</v>
      </c>
      <c r="G64">
        <v>-2.642582</v>
      </c>
      <c r="H64">
        <v>226.51121499999999</v>
      </c>
      <c r="I64">
        <v>26.411432000000001</v>
      </c>
      <c r="J64">
        <v>226.559586</v>
      </c>
      <c r="K64">
        <v>26.197887000000001</v>
      </c>
      <c r="L64">
        <v>214.38220200000001</v>
      </c>
      <c r="M64">
        <v>41.619194</v>
      </c>
      <c r="N64">
        <v>59.885734999999997</v>
      </c>
      <c r="O64">
        <v>59.885734999999997</v>
      </c>
      <c r="P64">
        <v>58.648936999999997</v>
      </c>
      <c r="Q64">
        <v>41.389648000000001</v>
      </c>
      <c r="R64">
        <v>9.8406970000000005</v>
      </c>
      <c r="S64">
        <v>0.97401400000000005</v>
      </c>
      <c r="T64">
        <v>0.90102199999999999</v>
      </c>
      <c r="U64">
        <v>30.882577999999999</v>
      </c>
      <c r="V64">
        <v>168.169128</v>
      </c>
      <c r="W64">
        <v>299.28784200000001</v>
      </c>
      <c r="X64">
        <v>108.979652</v>
      </c>
      <c r="Y64" t="s">
        <v>114</v>
      </c>
      <c r="Z64">
        <v>-1</v>
      </c>
      <c r="AA64">
        <v>-1</v>
      </c>
      <c r="AB64">
        <v>-1</v>
      </c>
      <c r="AC64">
        <v>2.8960699999999999</v>
      </c>
      <c r="AD64">
        <v>0.18</v>
      </c>
      <c r="AE64">
        <v>16.485001</v>
      </c>
      <c r="AF64">
        <v>0</v>
      </c>
      <c r="AG64">
        <v>135.987335</v>
      </c>
      <c r="AH64">
        <v>1.0546759999999999</v>
      </c>
      <c r="AI64">
        <v>330.67971799999998</v>
      </c>
      <c r="AJ64">
        <v>-35.016033</v>
      </c>
      <c r="AK64">
        <v>43.966160000000002</v>
      </c>
      <c r="AL64">
        <v>62.436306000000002</v>
      </c>
      <c r="AM64">
        <v>339.87603799999999</v>
      </c>
      <c r="AN64">
        <v>27.812633999999999</v>
      </c>
      <c r="AO64">
        <v>-4.1477519999999997</v>
      </c>
      <c r="AP64">
        <v>52.254958999999999</v>
      </c>
      <c r="AQ64">
        <v>101.62024700000001</v>
      </c>
      <c r="AR64">
        <v>212.82470699999999</v>
      </c>
      <c r="AS64">
        <v>91.128838000000002</v>
      </c>
      <c r="AT64">
        <v>15.45665</v>
      </c>
      <c r="AU64">
        <v>44.193325000000002</v>
      </c>
      <c r="AV64">
        <v>59.542327999999998</v>
      </c>
      <c r="AW64">
        <v>-4.2451460000000001</v>
      </c>
      <c r="AX64">
        <v>52.277061000000003</v>
      </c>
      <c r="AY64">
        <v>93.604454000000004</v>
      </c>
      <c r="AZ64">
        <v>213.30950899999999</v>
      </c>
      <c r="BA64">
        <v>94.024901999999997</v>
      </c>
      <c r="BB64">
        <v>15.420647000000001</v>
      </c>
      <c r="BC64">
        <v>10.779432999999999</v>
      </c>
      <c r="BD64">
        <v>110.38475</v>
      </c>
      <c r="BE64">
        <v>47.887954999999998</v>
      </c>
      <c r="BF64">
        <v>48.968108999999998</v>
      </c>
      <c r="BG64">
        <v>48.779564000000001</v>
      </c>
      <c r="BH64">
        <v>10</v>
      </c>
      <c r="BI64">
        <v>10</v>
      </c>
      <c r="BJ64">
        <v>0</v>
      </c>
      <c r="BK64">
        <v>60</v>
      </c>
      <c r="BL64">
        <v>3.866E-2</v>
      </c>
      <c r="BM64">
        <v>1.8339999999999999E-2</v>
      </c>
      <c r="BN64">
        <v>-1</v>
      </c>
      <c r="BO64">
        <v>3</v>
      </c>
      <c r="BP64">
        <v>1</v>
      </c>
      <c r="BQ64">
        <v>2.9994E-2</v>
      </c>
      <c r="BR64">
        <v>84.213111999999995</v>
      </c>
      <c r="BS64">
        <v>15.459724</v>
      </c>
      <c r="BT64">
        <v>1.5100000000000001E-4</v>
      </c>
      <c r="BU64">
        <v>42.038555000000002</v>
      </c>
      <c r="BV64">
        <v>1.355164</v>
      </c>
      <c r="BW64">
        <v>0.21790300000000001</v>
      </c>
      <c r="BX64">
        <v>5.4150580000000001</v>
      </c>
      <c r="BY64">
        <v>20.364750000000001</v>
      </c>
      <c r="BZ64">
        <v>0.62827299999999997</v>
      </c>
      <c r="CA64">
        <v>2020</v>
      </c>
      <c r="CB64">
        <v>1</v>
      </c>
      <c r="CC64">
        <v>20</v>
      </c>
      <c r="CD64">
        <v>4</v>
      </c>
      <c r="CE64">
        <v>29</v>
      </c>
      <c r="CF64">
        <v>13.090005</v>
      </c>
      <c r="CG64">
        <v>2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0.101619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</row>
    <row r="65" spans="1:105" x14ac:dyDescent="0.25">
      <c r="A65">
        <v>64</v>
      </c>
      <c r="B65" t="s">
        <v>196</v>
      </c>
      <c r="C65">
        <v>58868.218360999999</v>
      </c>
      <c r="D65">
        <v>299.31982399999998</v>
      </c>
      <c r="E65" s="3" t="s">
        <v>107</v>
      </c>
      <c r="F65" s="3" t="s">
        <v>106</v>
      </c>
      <c r="G65">
        <v>-2.0211519999999998</v>
      </c>
      <c r="H65">
        <v>158.91630599999999</v>
      </c>
      <c r="I65">
        <v>33.730716999999999</v>
      </c>
      <c r="J65">
        <v>158.11642499999999</v>
      </c>
      <c r="K65">
        <v>33.257007999999999</v>
      </c>
      <c r="L65">
        <v>146.99153100000001</v>
      </c>
      <c r="M65">
        <v>22.2834</v>
      </c>
      <c r="N65">
        <v>45.391570999999999</v>
      </c>
      <c r="O65">
        <v>45.391570999999999</v>
      </c>
      <c r="P65">
        <v>44.141022</v>
      </c>
      <c r="Q65">
        <v>41.298389</v>
      </c>
      <c r="R65">
        <v>9.0810589999999998</v>
      </c>
      <c r="S65">
        <v>0.22538800000000001</v>
      </c>
      <c r="T65">
        <v>0.97518000000000005</v>
      </c>
      <c r="U65">
        <v>27.376598000000001</v>
      </c>
      <c r="V65">
        <v>304.15823399999999</v>
      </c>
      <c r="W65">
        <v>299.31985500000002</v>
      </c>
      <c r="X65">
        <v>55.960022000000002</v>
      </c>
      <c r="Y65" t="s">
        <v>114</v>
      </c>
      <c r="Z65">
        <v>-1</v>
      </c>
      <c r="AA65">
        <v>-1</v>
      </c>
      <c r="AB65">
        <v>-1.6</v>
      </c>
      <c r="AC65">
        <v>7.4309620000000001</v>
      </c>
      <c r="AD65">
        <v>0.36</v>
      </c>
      <c r="AE65">
        <v>20.533000999999999</v>
      </c>
      <c r="AF65">
        <v>0</v>
      </c>
      <c r="AG65">
        <v>34.075085000000001</v>
      </c>
      <c r="AH65">
        <v>40.551636000000002</v>
      </c>
      <c r="AI65">
        <v>200.995026</v>
      </c>
      <c r="AJ65">
        <v>36.847228999999999</v>
      </c>
      <c r="AK65">
        <v>252.85328699999999</v>
      </c>
      <c r="AL65">
        <v>42.336734999999997</v>
      </c>
      <c r="AM65">
        <v>78.539565999999994</v>
      </c>
      <c r="AN65">
        <v>49.922226000000002</v>
      </c>
      <c r="AO65">
        <v>-2.1310220000000002</v>
      </c>
      <c r="AP65">
        <v>50.824722000000001</v>
      </c>
      <c r="AQ65">
        <v>95.332901000000007</v>
      </c>
      <c r="AR65">
        <v>123.613472</v>
      </c>
      <c r="AS65">
        <v>70.623656999999994</v>
      </c>
      <c r="AT65">
        <v>28.425637999999999</v>
      </c>
      <c r="AU65">
        <v>261.20901500000002</v>
      </c>
      <c r="AV65">
        <v>38.486862000000002</v>
      </c>
      <c r="AW65">
        <v>-2.01735</v>
      </c>
      <c r="AX65">
        <v>50.848430999999998</v>
      </c>
      <c r="AY65">
        <v>81.414444000000003</v>
      </c>
      <c r="AZ65">
        <v>119.193062</v>
      </c>
      <c r="BA65">
        <v>78.054619000000002</v>
      </c>
      <c r="BB65">
        <v>29.582180000000001</v>
      </c>
      <c r="BC65">
        <v>16.340966999999999</v>
      </c>
      <c r="BD65">
        <v>250.97875999999999</v>
      </c>
      <c r="BE65">
        <v>58.536304000000001</v>
      </c>
      <c r="BF65">
        <v>59.230831000000002</v>
      </c>
      <c r="BG65">
        <v>58.423102999999998</v>
      </c>
      <c r="BH65">
        <v>19</v>
      </c>
      <c r="BI65">
        <v>18</v>
      </c>
      <c r="BJ65">
        <v>5.2631579999999998</v>
      </c>
      <c r="BK65">
        <v>0</v>
      </c>
      <c r="BL65">
        <v>0.1</v>
      </c>
      <c r="BM65">
        <v>1.3480000000000001E-2</v>
      </c>
      <c r="BN65">
        <v>-1</v>
      </c>
      <c r="BO65">
        <v>3</v>
      </c>
      <c r="BP65">
        <v>1</v>
      </c>
      <c r="BQ65">
        <v>8.0004000000000006E-2</v>
      </c>
      <c r="BR65">
        <v>156.88954200000001</v>
      </c>
      <c r="BS65">
        <v>30.304693</v>
      </c>
      <c r="BT65">
        <v>2.32E-4</v>
      </c>
      <c r="BU65">
        <v>50.234386000000001</v>
      </c>
      <c r="BV65">
        <v>1.4348829999999999</v>
      </c>
      <c r="BW65">
        <v>0.81814200000000004</v>
      </c>
      <c r="BX65">
        <v>2.146026</v>
      </c>
      <c r="BY65">
        <v>4.347073</v>
      </c>
      <c r="BZ65">
        <v>0.85684899999999997</v>
      </c>
      <c r="CA65">
        <v>2020</v>
      </c>
      <c r="CB65">
        <v>1</v>
      </c>
      <c r="CC65">
        <v>20</v>
      </c>
      <c r="CD65">
        <v>5</v>
      </c>
      <c r="CE65">
        <v>14</v>
      </c>
      <c r="CF65">
        <v>26.379995000000001</v>
      </c>
      <c r="CG65">
        <v>2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0.11011899999999999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</row>
    <row r="66" spans="1:105" x14ac:dyDescent="0.25">
      <c r="A66">
        <v>65</v>
      </c>
      <c r="B66" t="s">
        <v>197</v>
      </c>
      <c r="C66">
        <v>58868.295250000003</v>
      </c>
      <c r="D66">
        <v>299.39810199999999</v>
      </c>
      <c r="E66" s="3" t="s">
        <v>113</v>
      </c>
      <c r="F66" s="3" t="s">
        <v>107</v>
      </c>
      <c r="G66">
        <v>-1.6121920000000001</v>
      </c>
      <c r="H66">
        <v>226.526062</v>
      </c>
      <c r="I66">
        <v>-4.2585879999999996</v>
      </c>
      <c r="J66">
        <v>226.29615799999999</v>
      </c>
      <c r="K66">
        <v>-4.6867010000000002</v>
      </c>
      <c r="L66">
        <v>225.20474200000001</v>
      </c>
      <c r="M66">
        <v>12.216329</v>
      </c>
      <c r="N66">
        <v>67.799712999999997</v>
      </c>
      <c r="O66">
        <v>67.799712999999997</v>
      </c>
      <c r="P66">
        <v>66.851387000000003</v>
      </c>
      <c r="Q66">
        <v>39.805748000000001</v>
      </c>
      <c r="R66">
        <v>4.0556850000000004</v>
      </c>
      <c r="S66">
        <v>0.76000800000000002</v>
      </c>
      <c r="T66">
        <v>0.81260699999999997</v>
      </c>
      <c r="U66">
        <v>8.1709219999999991</v>
      </c>
      <c r="V66">
        <v>119.49588799999999</v>
      </c>
      <c r="W66">
        <v>299.39804099999998</v>
      </c>
      <c r="X66">
        <v>156.539444</v>
      </c>
      <c r="Y66" t="s">
        <v>114</v>
      </c>
      <c r="Z66">
        <v>-1</v>
      </c>
      <c r="AA66">
        <v>-1</v>
      </c>
      <c r="AB66">
        <v>0</v>
      </c>
      <c r="AC66">
        <v>1.994691</v>
      </c>
      <c r="AD66">
        <v>0.12</v>
      </c>
      <c r="AE66">
        <v>17.274000000000001</v>
      </c>
      <c r="AF66">
        <v>0</v>
      </c>
      <c r="AG66">
        <v>137.37484699999999</v>
      </c>
      <c r="AH66">
        <v>11.251265999999999</v>
      </c>
      <c r="AI66">
        <v>270.90054300000003</v>
      </c>
      <c r="AJ66">
        <v>-2.60215</v>
      </c>
      <c r="AK66">
        <v>19.982481</v>
      </c>
      <c r="AL66">
        <v>66.616759999999999</v>
      </c>
      <c r="AM66">
        <v>9.7903819999999993</v>
      </c>
      <c r="AN66">
        <v>28.795670999999999</v>
      </c>
      <c r="AO66">
        <v>-2.4914179999999999</v>
      </c>
      <c r="AP66">
        <v>52.471043000000002</v>
      </c>
      <c r="AQ66">
        <v>102.82029</v>
      </c>
      <c r="AR66">
        <v>208.324173</v>
      </c>
      <c r="AS66">
        <v>114.975151</v>
      </c>
      <c r="AT66">
        <v>4.3952999999999998</v>
      </c>
      <c r="AU66">
        <v>22.291039999999999</v>
      </c>
      <c r="AV66">
        <v>64.861701999999994</v>
      </c>
      <c r="AW66">
        <v>-2.4987849999999998</v>
      </c>
      <c r="AX66">
        <v>52.531002000000001</v>
      </c>
      <c r="AY66">
        <v>98.369911000000002</v>
      </c>
      <c r="AZ66">
        <v>211.887833</v>
      </c>
      <c r="BA66">
        <v>116.969841</v>
      </c>
      <c r="BB66">
        <v>4.3212359999999999</v>
      </c>
      <c r="BC66">
        <v>8.1359650000000006</v>
      </c>
      <c r="BD66">
        <v>175.41563400000001</v>
      </c>
      <c r="BE66">
        <v>33.099949000000002</v>
      </c>
      <c r="BF66">
        <v>34.663372000000003</v>
      </c>
      <c r="BG66">
        <v>34.248398000000002</v>
      </c>
      <c r="BH66">
        <v>7</v>
      </c>
      <c r="BI66">
        <v>7</v>
      </c>
      <c r="BJ66">
        <v>0</v>
      </c>
      <c r="BK66">
        <v>4</v>
      </c>
      <c r="BL66">
        <v>5.0650000000000001E-2</v>
      </c>
      <c r="BM66">
        <v>8.8599999999999998E-3</v>
      </c>
      <c r="BN66">
        <v>-1</v>
      </c>
      <c r="BO66">
        <v>3</v>
      </c>
      <c r="BP66">
        <v>1</v>
      </c>
      <c r="BQ66">
        <v>5.9998000000000003E-2</v>
      </c>
      <c r="BR66">
        <v>28.312946</v>
      </c>
      <c r="BS66">
        <v>4.849729</v>
      </c>
      <c r="BT66">
        <v>1.9000000000000001E-4</v>
      </c>
      <c r="BU66">
        <v>93.045731000000004</v>
      </c>
      <c r="BV66">
        <v>3.4537079999999998</v>
      </c>
      <c r="BW66">
        <v>0.48560700000000001</v>
      </c>
      <c r="BX66">
        <v>37.454666000000003</v>
      </c>
      <c r="BY66">
        <v>497.08694500000001</v>
      </c>
      <c r="BZ66">
        <v>6.0040000000000003E-2</v>
      </c>
      <c r="CA66">
        <v>2020</v>
      </c>
      <c r="CB66">
        <v>1</v>
      </c>
      <c r="CC66">
        <v>20</v>
      </c>
      <c r="CD66">
        <v>7</v>
      </c>
      <c r="CE66">
        <v>5</v>
      </c>
      <c r="CF66">
        <v>9.6200030000000005</v>
      </c>
      <c r="CG66">
        <v>2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0.24656700000000001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</row>
    <row r="67" spans="1:105" x14ac:dyDescent="0.25">
      <c r="A67">
        <v>66</v>
      </c>
      <c r="B67" t="s">
        <v>198</v>
      </c>
      <c r="C67">
        <v>58868.806637000002</v>
      </c>
      <c r="D67">
        <v>299.91879299999999</v>
      </c>
      <c r="E67" s="3" t="s">
        <v>125</v>
      </c>
      <c r="F67" s="3" t="s">
        <v>122</v>
      </c>
      <c r="G67">
        <v>0.35992299999999999</v>
      </c>
      <c r="H67">
        <v>323.69009399999999</v>
      </c>
      <c r="I67">
        <v>34.905827000000002</v>
      </c>
      <c r="J67">
        <v>317.15112299999998</v>
      </c>
      <c r="K67">
        <v>28.466871000000001</v>
      </c>
      <c r="L67">
        <v>330.88562000000002</v>
      </c>
      <c r="M67">
        <v>42.462685</v>
      </c>
      <c r="N67">
        <v>17.720255000000002</v>
      </c>
      <c r="O67">
        <v>17.720255000000002</v>
      </c>
      <c r="P67">
        <v>14.050761</v>
      </c>
      <c r="Q67">
        <v>37.942570000000003</v>
      </c>
      <c r="R67">
        <v>2.4404270000000001</v>
      </c>
      <c r="S67">
        <v>0.91103299999999998</v>
      </c>
      <c r="T67">
        <v>0.626691</v>
      </c>
      <c r="U67">
        <v>3.813936</v>
      </c>
      <c r="V67">
        <v>143.86058</v>
      </c>
      <c r="W67">
        <v>299.91894500000001</v>
      </c>
      <c r="X67">
        <v>14.915373000000001</v>
      </c>
      <c r="Y67" t="s">
        <v>114</v>
      </c>
      <c r="Z67">
        <v>-1</v>
      </c>
      <c r="AA67">
        <v>-1</v>
      </c>
      <c r="AB67">
        <v>0.7</v>
      </c>
      <c r="AC67">
        <v>1.047132</v>
      </c>
      <c r="AD67">
        <v>0.38</v>
      </c>
      <c r="AE67">
        <v>2.8370000000000002</v>
      </c>
      <c r="AF67">
        <v>0</v>
      </c>
      <c r="AG67">
        <v>42.948405999999999</v>
      </c>
      <c r="AH67">
        <v>-14.955315000000001</v>
      </c>
      <c r="AI67">
        <v>153.821732</v>
      </c>
      <c r="AJ67">
        <v>35.306685999999999</v>
      </c>
      <c r="AK67">
        <v>332.70559700000001</v>
      </c>
      <c r="AL67">
        <v>51.684398999999999</v>
      </c>
      <c r="AM67">
        <v>301.38851899999997</v>
      </c>
      <c r="AN67">
        <v>45.363770000000002</v>
      </c>
      <c r="AO67">
        <v>357.63885499999998</v>
      </c>
      <c r="AP67">
        <v>52.255065999999999</v>
      </c>
      <c r="AQ67">
        <v>85.895256000000003</v>
      </c>
      <c r="AR67">
        <v>120.14692700000001</v>
      </c>
      <c r="AS67">
        <v>17.983383</v>
      </c>
      <c r="AT67">
        <v>17.927994000000002</v>
      </c>
      <c r="AU67">
        <v>333.423767</v>
      </c>
      <c r="AV67">
        <v>52.634349999999998</v>
      </c>
      <c r="AW67">
        <v>357.718231</v>
      </c>
      <c r="AX67">
        <v>52.238075000000002</v>
      </c>
      <c r="AY67">
        <v>82.496643000000006</v>
      </c>
      <c r="AZ67">
        <v>113.7612</v>
      </c>
      <c r="BA67">
        <v>19.030515999999999</v>
      </c>
      <c r="BB67">
        <v>18.971657</v>
      </c>
      <c r="BC67">
        <v>6.7336960000000001</v>
      </c>
      <c r="BD67">
        <v>289.024719</v>
      </c>
      <c r="BE67">
        <v>30.524788000000001</v>
      </c>
      <c r="BF67">
        <v>29.789874999999999</v>
      </c>
      <c r="BG67">
        <v>21.292619999999999</v>
      </c>
      <c r="BH67">
        <v>20</v>
      </c>
      <c r="BI67">
        <v>10</v>
      </c>
      <c r="BJ67">
        <v>50</v>
      </c>
      <c r="BK67">
        <v>46</v>
      </c>
      <c r="BL67">
        <v>2.2610000000000002E-2</v>
      </c>
      <c r="BM67">
        <v>2.2419999999999999E-2</v>
      </c>
      <c r="BN67">
        <v>-1</v>
      </c>
      <c r="BO67">
        <v>3</v>
      </c>
      <c r="BP67">
        <v>1</v>
      </c>
      <c r="BQ67">
        <v>0.05</v>
      </c>
      <c r="BR67">
        <v>98.432700999999994</v>
      </c>
      <c r="BS67">
        <v>85.576438999999993</v>
      </c>
      <c r="BT67">
        <v>8.7000000000000001E-5</v>
      </c>
      <c r="BU67">
        <v>78.807868999999997</v>
      </c>
      <c r="BV67">
        <v>11.216951</v>
      </c>
      <c r="BW67">
        <v>8.5053999999999998</v>
      </c>
      <c r="BX67">
        <v>0.50352399999999997</v>
      </c>
      <c r="BY67">
        <v>1.5488249999999999</v>
      </c>
      <c r="BZ67">
        <v>0.85460599999999998</v>
      </c>
      <c r="CA67">
        <v>2020</v>
      </c>
      <c r="CB67">
        <v>1</v>
      </c>
      <c r="CC67">
        <v>20</v>
      </c>
      <c r="CD67">
        <v>19</v>
      </c>
      <c r="CE67">
        <v>21</v>
      </c>
      <c r="CF67">
        <v>33.459999000000003</v>
      </c>
      <c r="CG67">
        <v>2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0.40976400000000002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</row>
    <row r="68" spans="1:105" x14ac:dyDescent="0.25">
      <c r="A68">
        <v>67</v>
      </c>
      <c r="B68" t="s">
        <v>199</v>
      </c>
      <c r="C68">
        <v>58868.829655000001</v>
      </c>
      <c r="D68">
        <v>299.94223</v>
      </c>
      <c r="E68" s="3" t="s">
        <v>113</v>
      </c>
      <c r="F68" s="3" t="s">
        <v>107</v>
      </c>
      <c r="G68">
        <v>0.556921</v>
      </c>
      <c r="H68">
        <v>53.084671</v>
      </c>
      <c r="I68">
        <v>-2.8584689999999999</v>
      </c>
      <c r="J68">
        <v>50.173648999999997</v>
      </c>
      <c r="K68">
        <v>-29.246641</v>
      </c>
      <c r="L68">
        <v>36.959743000000003</v>
      </c>
      <c r="M68">
        <v>-45.625281999999999</v>
      </c>
      <c r="N68">
        <v>12.040564</v>
      </c>
      <c r="O68">
        <v>12.040564</v>
      </c>
      <c r="P68">
        <v>4.5128149999999998</v>
      </c>
      <c r="Q68">
        <v>33.562877999999998</v>
      </c>
      <c r="R68">
        <v>1.310997</v>
      </c>
      <c r="S68">
        <v>0.98385999999999996</v>
      </c>
      <c r="T68">
        <v>0.249533</v>
      </c>
      <c r="U68">
        <v>1.5016799999999999</v>
      </c>
      <c r="V68">
        <v>1.973128</v>
      </c>
      <c r="W68">
        <v>119.941742</v>
      </c>
      <c r="X68">
        <v>5.51715</v>
      </c>
      <c r="Y68" t="s">
        <v>114</v>
      </c>
      <c r="Z68">
        <v>-1</v>
      </c>
      <c r="AA68">
        <v>-1</v>
      </c>
      <c r="AB68">
        <v>0.7</v>
      </c>
      <c r="AC68">
        <v>1.479541</v>
      </c>
      <c r="AD68">
        <v>0.24</v>
      </c>
      <c r="AE68">
        <v>5.319</v>
      </c>
      <c r="AF68">
        <v>0</v>
      </c>
      <c r="AG68">
        <v>143.448364</v>
      </c>
      <c r="AH68">
        <v>-7.2449589999999997</v>
      </c>
      <c r="AI68">
        <v>264.60867300000001</v>
      </c>
      <c r="AJ68">
        <v>2.0896219999999999</v>
      </c>
      <c r="AK68">
        <v>204.2388</v>
      </c>
      <c r="AL68">
        <v>75.397178999999994</v>
      </c>
      <c r="AM68">
        <v>9.5468299999999999</v>
      </c>
      <c r="AN68">
        <v>37.821697</v>
      </c>
      <c r="AO68">
        <v>357.24868800000002</v>
      </c>
      <c r="AP68">
        <v>51.615433000000003</v>
      </c>
      <c r="AQ68">
        <v>66.026436000000004</v>
      </c>
      <c r="AR68">
        <v>106.37977600000001</v>
      </c>
      <c r="AS68">
        <v>105.59393300000001</v>
      </c>
      <c r="AT68">
        <v>7.7928689999999996</v>
      </c>
      <c r="AU68">
        <v>206.92836</v>
      </c>
      <c r="AV68">
        <v>74.09742</v>
      </c>
      <c r="AW68">
        <v>357.25067100000001</v>
      </c>
      <c r="AX68">
        <v>51.636547</v>
      </c>
      <c r="AY68">
        <v>64.391082999999995</v>
      </c>
      <c r="AZ68">
        <v>107.242126</v>
      </c>
      <c r="BA68">
        <v>107.073471</v>
      </c>
      <c r="BB68">
        <v>7.7298210000000003</v>
      </c>
      <c r="BC68">
        <v>2.8897349999999999</v>
      </c>
      <c r="BD68">
        <v>182.768066</v>
      </c>
      <c r="BE68">
        <v>35.559131999999998</v>
      </c>
      <c r="BF68">
        <v>36.302036000000001</v>
      </c>
      <c r="BG68">
        <v>9.8247540000000004</v>
      </c>
      <c r="BH68">
        <v>13</v>
      </c>
      <c r="BI68">
        <v>5</v>
      </c>
      <c r="BJ68">
        <v>61.538460000000001</v>
      </c>
      <c r="BK68">
        <v>0</v>
      </c>
      <c r="BL68">
        <v>0.1</v>
      </c>
      <c r="BM68">
        <v>3.3500000000000001E-3</v>
      </c>
      <c r="BN68">
        <v>-1</v>
      </c>
      <c r="BO68">
        <v>3</v>
      </c>
      <c r="BP68">
        <v>1</v>
      </c>
      <c r="BQ68">
        <v>4.0002000000000003E-2</v>
      </c>
      <c r="BR68">
        <v>28.312946</v>
      </c>
      <c r="BS68">
        <v>8.0934869999999997</v>
      </c>
      <c r="BT68">
        <v>0.29197299999999998</v>
      </c>
      <c r="BU68">
        <v>65.172477999999998</v>
      </c>
      <c r="BV68">
        <v>10.398285</v>
      </c>
      <c r="BW68">
        <v>26.532768000000001</v>
      </c>
      <c r="BX68">
        <v>51.880431999999999</v>
      </c>
      <c r="BY68">
        <v>385.722534</v>
      </c>
      <c r="BZ68">
        <v>5.0407E-2</v>
      </c>
      <c r="CA68">
        <v>2020</v>
      </c>
      <c r="CB68">
        <v>1</v>
      </c>
      <c r="CC68">
        <v>20</v>
      </c>
      <c r="CD68">
        <v>19</v>
      </c>
      <c r="CE68">
        <v>54</v>
      </c>
      <c r="CF68">
        <v>42.199997000000003</v>
      </c>
      <c r="CG68">
        <v>2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0.76277799999999996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</row>
    <row r="69" spans="1:105" x14ac:dyDescent="0.25">
      <c r="A69">
        <v>68</v>
      </c>
      <c r="B69" t="s">
        <v>200</v>
      </c>
      <c r="C69">
        <v>58868.835433</v>
      </c>
      <c r="D69">
        <v>299.94808999999998</v>
      </c>
      <c r="E69" s="3" t="s">
        <v>107</v>
      </c>
      <c r="F69" s="3" t="s">
        <v>106</v>
      </c>
      <c r="G69">
        <v>0.19617000000000001</v>
      </c>
      <c r="H69">
        <v>52.190795999999999</v>
      </c>
      <c r="I69">
        <v>46.829715999999998</v>
      </c>
      <c r="J69">
        <v>49.249068999999999</v>
      </c>
      <c r="K69">
        <v>45.754283999999998</v>
      </c>
      <c r="L69">
        <v>59.391509999999997</v>
      </c>
      <c r="M69">
        <v>26.552820000000001</v>
      </c>
      <c r="N69">
        <v>15.037818</v>
      </c>
      <c r="O69">
        <v>15.037818</v>
      </c>
      <c r="P69">
        <v>10.088262</v>
      </c>
      <c r="Q69">
        <v>38.636375000000001</v>
      </c>
      <c r="R69">
        <v>2.8582179999999999</v>
      </c>
      <c r="S69">
        <v>0.96878600000000004</v>
      </c>
      <c r="T69">
        <v>0.66105199999999997</v>
      </c>
      <c r="U69">
        <v>4.8341240000000001</v>
      </c>
      <c r="V69">
        <v>196.01127600000001</v>
      </c>
      <c r="W69">
        <v>299.948486</v>
      </c>
      <c r="X69">
        <v>6.7429620000000003</v>
      </c>
      <c r="Y69" t="s">
        <v>114</v>
      </c>
      <c r="Z69">
        <v>-1</v>
      </c>
      <c r="AA69">
        <v>-1</v>
      </c>
      <c r="AB69">
        <v>0.8</v>
      </c>
      <c r="AC69">
        <v>2.8043819999999999</v>
      </c>
      <c r="AD69">
        <v>0.5</v>
      </c>
      <c r="AE69">
        <v>5.78</v>
      </c>
      <c r="AF69">
        <v>0</v>
      </c>
      <c r="AG69">
        <v>120.925697</v>
      </c>
      <c r="AH69">
        <v>-18.789781999999999</v>
      </c>
      <c r="AI69">
        <v>231.94989000000001</v>
      </c>
      <c r="AJ69">
        <v>24.856337</v>
      </c>
      <c r="AK69">
        <v>166.60574299999999</v>
      </c>
      <c r="AL69">
        <v>64.035301000000004</v>
      </c>
      <c r="AM69">
        <v>31.181495999999999</v>
      </c>
      <c r="AN69">
        <v>36.947113000000002</v>
      </c>
      <c r="AO69">
        <v>357.56738300000001</v>
      </c>
      <c r="AP69">
        <v>51.498817000000003</v>
      </c>
      <c r="AQ69">
        <v>81.838813999999999</v>
      </c>
      <c r="AR69">
        <v>133.98010300000001</v>
      </c>
      <c r="AS69">
        <v>57.866374999999998</v>
      </c>
      <c r="AT69">
        <v>57.705264999999997</v>
      </c>
      <c r="AU69">
        <v>171.01232899999999</v>
      </c>
      <c r="AV69">
        <v>62.064869000000002</v>
      </c>
      <c r="AW69">
        <v>357.57479899999998</v>
      </c>
      <c r="AX69">
        <v>51.503857000000004</v>
      </c>
      <c r="AY69">
        <v>74.361259000000004</v>
      </c>
      <c r="AZ69">
        <v>130.136673</v>
      </c>
      <c r="BA69">
        <v>60.670752999999998</v>
      </c>
      <c r="BB69">
        <v>60.490746000000001</v>
      </c>
      <c r="BC69">
        <v>7.5189089999999998</v>
      </c>
      <c r="BD69">
        <v>219.85560599999999</v>
      </c>
      <c r="BE69">
        <v>84.183678</v>
      </c>
      <c r="BF69">
        <v>85.121528999999995</v>
      </c>
      <c r="BG69">
        <v>82.982262000000006</v>
      </c>
      <c r="BH69">
        <v>26</v>
      </c>
      <c r="BI69">
        <v>13</v>
      </c>
      <c r="BJ69">
        <v>50</v>
      </c>
      <c r="BK69">
        <v>44</v>
      </c>
      <c r="BL69">
        <v>4.2849999999999999E-2</v>
      </c>
      <c r="BM69">
        <v>1.375E-2</v>
      </c>
      <c r="BN69">
        <v>-1</v>
      </c>
      <c r="BO69">
        <v>3</v>
      </c>
      <c r="BP69">
        <v>1</v>
      </c>
      <c r="BQ69">
        <v>0.05</v>
      </c>
      <c r="BR69">
        <v>156.88954200000001</v>
      </c>
      <c r="BS69">
        <v>86.590401</v>
      </c>
      <c r="BT69">
        <v>2.8299999999999999E-4</v>
      </c>
      <c r="BU69">
        <v>92.616996999999998</v>
      </c>
      <c r="BV69">
        <v>0.18789900000000001</v>
      </c>
      <c r="BW69">
        <v>2.2994270000000001</v>
      </c>
      <c r="BX69">
        <v>0.98711499999999996</v>
      </c>
      <c r="BY69">
        <v>1.134255</v>
      </c>
      <c r="BZ69">
        <v>0.86575299999999999</v>
      </c>
      <c r="CA69">
        <v>2020</v>
      </c>
      <c r="CB69">
        <v>1</v>
      </c>
      <c r="CC69">
        <v>20</v>
      </c>
      <c r="CD69">
        <v>20</v>
      </c>
      <c r="CE69">
        <v>3</v>
      </c>
      <c r="CF69">
        <v>1.429999</v>
      </c>
      <c r="CG69">
        <v>2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0.34986800000000001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</row>
    <row r="70" spans="1:105" x14ac:dyDescent="0.25">
      <c r="A70">
        <v>69</v>
      </c>
      <c r="B70" t="s">
        <v>201</v>
      </c>
      <c r="C70">
        <v>58868.894589000003</v>
      </c>
      <c r="D70">
        <v>300.008331</v>
      </c>
      <c r="E70" s="3" t="s">
        <v>125</v>
      </c>
      <c r="F70" s="3" t="s">
        <v>106</v>
      </c>
      <c r="G70">
        <v>-1.1659040000000001</v>
      </c>
      <c r="H70">
        <v>215.31452899999999</v>
      </c>
      <c r="I70">
        <v>59.747280000000003</v>
      </c>
      <c r="J70">
        <v>217.149033</v>
      </c>
      <c r="K70">
        <v>58.790222</v>
      </c>
      <c r="L70">
        <v>172.67808500000001</v>
      </c>
      <c r="M70">
        <v>65.391586000000004</v>
      </c>
      <c r="N70">
        <v>40.635787999999998</v>
      </c>
      <c r="O70">
        <v>40.635787999999998</v>
      </c>
      <c r="P70">
        <v>38.961959999999998</v>
      </c>
      <c r="Q70">
        <v>40.624222000000003</v>
      </c>
      <c r="R70">
        <v>5.8054199999999998</v>
      </c>
      <c r="S70">
        <v>0.922759</v>
      </c>
      <c r="T70">
        <v>0.84105200000000002</v>
      </c>
      <c r="U70">
        <v>13.993463999999999</v>
      </c>
      <c r="V70">
        <v>210.25396699999999</v>
      </c>
      <c r="W70">
        <v>300.00836199999998</v>
      </c>
      <c r="X70">
        <v>63.873595999999999</v>
      </c>
      <c r="Y70" t="s">
        <v>114</v>
      </c>
      <c r="Z70">
        <v>-1</v>
      </c>
      <c r="AA70">
        <v>-1</v>
      </c>
      <c r="AB70">
        <v>-0.9</v>
      </c>
      <c r="AC70">
        <v>12.841434</v>
      </c>
      <c r="AD70">
        <v>0.78</v>
      </c>
      <c r="AE70">
        <v>16.585999999999999</v>
      </c>
      <c r="AF70">
        <v>0</v>
      </c>
      <c r="AG70">
        <v>112.98436</v>
      </c>
      <c r="AH70">
        <v>7.0995850000000003</v>
      </c>
      <c r="AI70">
        <v>69.127251000000001</v>
      </c>
      <c r="AJ70">
        <v>-14.051679</v>
      </c>
      <c r="AK70">
        <v>0.96220300000000003</v>
      </c>
      <c r="AL70">
        <v>71.625465000000005</v>
      </c>
      <c r="AM70">
        <v>330.32833900000003</v>
      </c>
      <c r="AN70">
        <v>51.543438000000002</v>
      </c>
      <c r="AO70">
        <v>358.13244600000002</v>
      </c>
      <c r="AP70">
        <v>52.455353000000002</v>
      </c>
      <c r="AQ70">
        <v>96.426963999999998</v>
      </c>
      <c r="AR70">
        <v>122.647263</v>
      </c>
      <c r="AS70">
        <v>46.47625</v>
      </c>
      <c r="AT70">
        <v>24.267365999999999</v>
      </c>
      <c r="AU70">
        <v>10.821923999999999</v>
      </c>
      <c r="AV70">
        <v>59.409846999999999</v>
      </c>
      <c r="AW70">
        <v>357.97042800000003</v>
      </c>
      <c r="AX70">
        <v>52.226787999999999</v>
      </c>
      <c r="AY70">
        <v>81.709220999999999</v>
      </c>
      <c r="AZ70">
        <v>103.406013</v>
      </c>
      <c r="BA70">
        <v>59.317684</v>
      </c>
      <c r="BB70">
        <v>29.174496000000001</v>
      </c>
      <c r="BC70">
        <v>31.695913000000001</v>
      </c>
      <c r="BD70">
        <v>23.548431000000001</v>
      </c>
      <c r="BE70">
        <v>27.678996999999999</v>
      </c>
      <c r="BF70">
        <v>27.275086999999999</v>
      </c>
      <c r="BG70">
        <v>25.986153000000002</v>
      </c>
      <c r="BH70">
        <v>40</v>
      </c>
      <c r="BI70">
        <v>40</v>
      </c>
      <c r="BJ70">
        <v>0</v>
      </c>
      <c r="BK70">
        <v>44</v>
      </c>
      <c r="BL70">
        <v>2.419E-2</v>
      </c>
      <c r="BM70">
        <v>1.8200000000000001E-2</v>
      </c>
      <c r="BN70">
        <v>-1</v>
      </c>
      <c r="BO70">
        <v>3</v>
      </c>
      <c r="BP70">
        <v>1</v>
      </c>
      <c r="BQ70">
        <v>0.35999599999999998</v>
      </c>
      <c r="BR70">
        <v>105.113434</v>
      </c>
      <c r="BS70">
        <v>34.528793</v>
      </c>
      <c r="BT70">
        <v>1.436E-3</v>
      </c>
      <c r="BU70">
        <v>46.127398999999997</v>
      </c>
      <c r="BV70">
        <v>5.5697000000000003E-2</v>
      </c>
      <c r="BW70">
        <v>1.3395999999999999</v>
      </c>
      <c r="BX70">
        <v>0.220585</v>
      </c>
      <c r="BY70">
        <v>0.45250899999999999</v>
      </c>
      <c r="BZ70">
        <v>0.98231500000000005</v>
      </c>
      <c r="CA70">
        <v>2020</v>
      </c>
      <c r="CB70">
        <v>1</v>
      </c>
      <c r="CC70">
        <v>20</v>
      </c>
      <c r="CD70">
        <v>21</v>
      </c>
      <c r="CE70">
        <v>28</v>
      </c>
      <c r="CF70">
        <v>12.500003</v>
      </c>
      <c r="CG70">
        <v>2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0.17225299999999999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</row>
    <row r="71" spans="1:105" x14ac:dyDescent="0.25">
      <c r="A71">
        <v>70</v>
      </c>
      <c r="B71" t="s">
        <v>202</v>
      </c>
      <c r="C71">
        <v>58868.962714000001</v>
      </c>
      <c r="D71">
        <v>300.077698</v>
      </c>
      <c r="E71" s="3" t="s">
        <v>106</v>
      </c>
      <c r="F71" s="3" t="s">
        <v>143</v>
      </c>
      <c r="G71">
        <v>-0.273509</v>
      </c>
      <c r="H71">
        <v>173.12518299999999</v>
      </c>
      <c r="I71">
        <v>34.055717000000001</v>
      </c>
      <c r="J71">
        <v>173.865982</v>
      </c>
      <c r="K71">
        <v>33.573737999999999</v>
      </c>
      <c r="L71">
        <v>159.99264500000001</v>
      </c>
      <c r="M71">
        <v>28.162690999999999</v>
      </c>
      <c r="N71">
        <v>41.841034000000001</v>
      </c>
      <c r="O71">
        <v>41.841034000000001</v>
      </c>
      <c r="P71">
        <v>40.087066999999998</v>
      </c>
      <c r="Q71">
        <v>33.793548999999999</v>
      </c>
      <c r="R71">
        <v>1.3418509999999999</v>
      </c>
      <c r="S71">
        <v>0.250141</v>
      </c>
      <c r="T71">
        <v>0.813585</v>
      </c>
      <c r="U71">
        <v>1.555002</v>
      </c>
      <c r="V71">
        <v>311.48767099999998</v>
      </c>
      <c r="W71">
        <v>300.077698</v>
      </c>
      <c r="X71">
        <v>68.120673999999994</v>
      </c>
      <c r="Y71" t="s">
        <v>165</v>
      </c>
      <c r="Z71">
        <v>4.0860649999999996</v>
      </c>
      <c r="AA71">
        <v>0.17947299999999999</v>
      </c>
      <c r="AB71">
        <v>0.6</v>
      </c>
      <c r="AC71">
        <v>3.4676450000000001</v>
      </c>
      <c r="AD71">
        <v>0.22</v>
      </c>
      <c r="AE71">
        <v>15.573</v>
      </c>
      <c r="AF71">
        <v>0</v>
      </c>
      <c r="AG71">
        <v>96.807036999999994</v>
      </c>
      <c r="AH71">
        <v>-19.286791000000001</v>
      </c>
      <c r="AI71">
        <v>8.9648629999999994</v>
      </c>
      <c r="AJ71">
        <v>-38.075420000000001</v>
      </c>
      <c r="AK71">
        <v>24.931425000000001</v>
      </c>
      <c r="AL71">
        <v>41.635967000000001</v>
      </c>
      <c r="AM71">
        <v>293.53121900000002</v>
      </c>
      <c r="AN71">
        <v>36.694797999999999</v>
      </c>
      <c r="AO71">
        <v>357.42904700000003</v>
      </c>
      <c r="AP71">
        <v>51.355606000000002</v>
      </c>
      <c r="AQ71">
        <v>89.603531000000004</v>
      </c>
      <c r="AR71">
        <v>148.673676</v>
      </c>
      <c r="AS71">
        <v>98.867942999999997</v>
      </c>
      <c r="AT71">
        <v>60.155144</v>
      </c>
      <c r="AU71">
        <v>22.973835000000001</v>
      </c>
      <c r="AV71">
        <v>38.508293000000002</v>
      </c>
      <c r="AW71">
        <v>357.32800300000002</v>
      </c>
      <c r="AX71">
        <v>51.345500999999999</v>
      </c>
      <c r="AY71">
        <v>83.899696000000006</v>
      </c>
      <c r="AZ71">
        <v>150.368011</v>
      </c>
      <c r="BA71">
        <v>102.335587</v>
      </c>
      <c r="BB71">
        <v>59.048462000000001</v>
      </c>
      <c r="BC71">
        <v>9.2050280000000004</v>
      </c>
      <c r="BD71">
        <v>81.030251000000007</v>
      </c>
      <c r="BE71">
        <v>38.084198000000001</v>
      </c>
      <c r="BF71">
        <v>38.984192</v>
      </c>
      <c r="BG71">
        <v>38.203795999999997</v>
      </c>
      <c r="BH71">
        <v>12</v>
      </c>
      <c r="BI71">
        <v>11</v>
      </c>
      <c r="BJ71">
        <v>8.3333329999999997</v>
      </c>
      <c r="BK71">
        <v>99</v>
      </c>
      <c r="BL71">
        <v>2.8219999999999999E-2</v>
      </c>
      <c r="BM71">
        <v>1.54E-2</v>
      </c>
      <c r="BN71">
        <v>-1</v>
      </c>
      <c r="BO71">
        <v>3</v>
      </c>
      <c r="BP71">
        <v>1</v>
      </c>
      <c r="BQ71">
        <v>2.8700009999999998</v>
      </c>
      <c r="BR71">
        <v>175.21774300000001</v>
      </c>
      <c r="BS71">
        <v>61.386474999999997</v>
      </c>
      <c r="BT71">
        <v>9.4459999999999995E-3</v>
      </c>
      <c r="BU71">
        <v>54.469025000000002</v>
      </c>
      <c r="BV71">
        <v>1.1981459999999999</v>
      </c>
      <c r="BW71">
        <v>0.78174200000000005</v>
      </c>
      <c r="BX71">
        <v>1.0981270000000001</v>
      </c>
      <c r="BY71">
        <v>1.2804610000000001</v>
      </c>
      <c r="BZ71">
        <v>0.94162000000000001</v>
      </c>
      <c r="CA71">
        <v>2020</v>
      </c>
      <c r="CB71">
        <v>1</v>
      </c>
      <c r="CC71">
        <v>20</v>
      </c>
      <c r="CD71">
        <v>23</v>
      </c>
      <c r="CE71">
        <v>6</v>
      </c>
      <c r="CF71">
        <v>18.479996</v>
      </c>
      <c r="CG71">
        <v>2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0.74523899999999998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</row>
    <row r="72" spans="1:105" x14ac:dyDescent="0.25">
      <c r="A72">
        <v>71</v>
      </c>
      <c r="B72" t="s">
        <v>203</v>
      </c>
      <c r="C72">
        <v>58868.987016999999</v>
      </c>
      <c r="D72">
        <v>300.102417</v>
      </c>
      <c r="E72" s="3" t="s">
        <v>107</v>
      </c>
      <c r="F72" s="3" t="s">
        <v>113</v>
      </c>
      <c r="G72">
        <v>0.58296899999999996</v>
      </c>
      <c r="H72">
        <v>122.411339</v>
      </c>
      <c r="I72">
        <v>17.704611</v>
      </c>
      <c r="J72">
        <v>122.111305</v>
      </c>
      <c r="K72">
        <v>15.819767000000001</v>
      </c>
      <c r="L72">
        <v>120.853081</v>
      </c>
      <c r="M72">
        <v>-4.2441579999999997</v>
      </c>
      <c r="N72">
        <v>25.180917999999998</v>
      </c>
      <c r="O72">
        <v>25.180917999999998</v>
      </c>
      <c r="P72">
        <v>22.508087</v>
      </c>
      <c r="Q72">
        <v>37.394691000000002</v>
      </c>
      <c r="R72">
        <v>2.1917409999999999</v>
      </c>
      <c r="S72">
        <v>0.56477299999999997</v>
      </c>
      <c r="T72">
        <v>0.74231800000000003</v>
      </c>
      <c r="U72">
        <v>3.2460749999999998</v>
      </c>
      <c r="V72">
        <v>89.998192000000003</v>
      </c>
      <c r="W72">
        <v>120.10148599999999</v>
      </c>
      <c r="X72">
        <v>3.1823800000000002</v>
      </c>
      <c r="Y72" t="s">
        <v>114</v>
      </c>
      <c r="Z72">
        <v>-1</v>
      </c>
      <c r="AA72">
        <v>-1</v>
      </c>
      <c r="AB72">
        <v>0.7</v>
      </c>
      <c r="AC72">
        <v>5.854133</v>
      </c>
      <c r="AD72">
        <v>0.44</v>
      </c>
      <c r="AE72">
        <v>13.452</v>
      </c>
      <c r="AF72">
        <v>0</v>
      </c>
      <c r="AG72">
        <v>35.907443999999998</v>
      </c>
      <c r="AH72">
        <v>-10.814615999999999</v>
      </c>
      <c r="AI72">
        <v>280.95327800000001</v>
      </c>
      <c r="AJ72">
        <v>-11.324296</v>
      </c>
      <c r="AK72">
        <v>26.81579</v>
      </c>
      <c r="AL72">
        <v>79.051094000000006</v>
      </c>
      <c r="AM72">
        <v>342.88314800000001</v>
      </c>
      <c r="AN72">
        <v>50.454287999999998</v>
      </c>
      <c r="AO72">
        <v>356.49478099999999</v>
      </c>
      <c r="AP72">
        <v>51.267798999999997</v>
      </c>
      <c r="AQ72">
        <v>82.698409999999996</v>
      </c>
      <c r="AR72">
        <v>106.821831</v>
      </c>
      <c r="AS72">
        <v>73.684189000000003</v>
      </c>
      <c r="AT72">
        <v>14.526484999999999</v>
      </c>
      <c r="AU72">
        <v>0.58401499999999995</v>
      </c>
      <c r="AV72">
        <v>76.822852999999995</v>
      </c>
      <c r="AW72">
        <v>356.46679699999999</v>
      </c>
      <c r="AX72">
        <v>51.320670999999997</v>
      </c>
      <c r="AY72">
        <v>73.585098000000002</v>
      </c>
      <c r="AZ72">
        <v>104.252914</v>
      </c>
      <c r="BA72">
        <v>79.538321999999994</v>
      </c>
      <c r="BB72">
        <v>14.892612</v>
      </c>
      <c r="BC72">
        <v>11.079603000000001</v>
      </c>
      <c r="BD72">
        <v>161.30223100000001</v>
      </c>
      <c r="BE72">
        <v>55.248488999999999</v>
      </c>
      <c r="BF72">
        <v>55.855339000000001</v>
      </c>
      <c r="BG72">
        <v>54.069485</v>
      </c>
      <c r="BH72">
        <v>23</v>
      </c>
      <c r="BI72">
        <v>13</v>
      </c>
      <c r="BJ72">
        <v>43.478259999999999</v>
      </c>
      <c r="BK72">
        <v>0</v>
      </c>
      <c r="BL72">
        <v>0.1</v>
      </c>
      <c r="BM72">
        <v>1.0970000000000001E-2</v>
      </c>
      <c r="BN72">
        <v>-1</v>
      </c>
      <c r="BO72">
        <v>3</v>
      </c>
      <c r="BP72">
        <v>1</v>
      </c>
      <c r="BQ72">
        <v>0.180003</v>
      </c>
      <c r="BR72">
        <v>28.313253</v>
      </c>
      <c r="BS72">
        <v>15.150346000000001</v>
      </c>
      <c r="BT72">
        <v>7.4799999999999997E-4</v>
      </c>
      <c r="BU72">
        <v>62.424934</v>
      </c>
      <c r="BV72">
        <v>1.5294650000000001</v>
      </c>
      <c r="BW72">
        <v>1.906609</v>
      </c>
      <c r="BX72">
        <v>5.3175169999999996</v>
      </c>
      <c r="BY72">
        <v>20.690069000000001</v>
      </c>
      <c r="BZ72">
        <v>0.57166899999999998</v>
      </c>
      <c r="CA72">
        <v>2020</v>
      </c>
      <c r="CB72">
        <v>1</v>
      </c>
      <c r="CC72">
        <v>20</v>
      </c>
      <c r="CD72">
        <v>23</v>
      </c>
      <c r="CE72">
        <v>41</v>
      </c>
      <c r="CF72">
        <v>18.290001</v>
      </c>
      <c r="CG72">
        <v>2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0.456258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</row>
    <row r="73" spans="1:105" x14ac:dyDescent="0.25">
      <c r="A73">
        <v>72</v>
      </c>
      <c r="B73" t="s">
        <v>204</v>
      </c>
      <c r="C73">
        <v>58869.003331</v>
      </c>
      <c r="D73">
        <v>300.11904900000002</v>
      </c>
      <c r="E73" s="2" t="s">
        <v>107</v>
      </c>
      <c r="F73" s="2" t="s">
        <v>106</v>
      </c>
      <c r="G73">
        <v>-0.896953</v>
      </c>
      <c r="H73">
        <v>184.210632</v>
      </c>
      <c r="I73">
        <v>36.226008999999998</v>
      </c>
      <c r="J73">
        <v>184.56401099999999</v>
      </c>
      <c r="K73">
        <v>36.047764000000001</v>
      </c>
      <c r="L73">
        <v>167.74794</v>
      </c>
      <c r="M73">
        <v>34.437069000000001</v>
      </c>
      <c r="N73">
        <v>55.906016999999999</v>
      </c>
      <c r="O73">
        <v>55.906016999999999</v>
      </c>
      <c r="P73">
        <v>54.554938999999997</v>
      </c>
      <c r="Q73">
        <v>43.249865999999997</v>
      </c>
      <c r="R73">
        <v>-13.156075</v>
      </c>
      <c r="S73">
        <v>0.51412000000000002</v>
      </c>
      <c r="T73">
        <v>1.0390779999999999</v>
      </c>
      <c r="U73">
        <v>0</v>
      </c>
      <c r="V73">
        <v>266.39218099999999</v>
      </c>
      <c r="W73">
        <v>300.11901899999998</v>
      </c>
      <c r="X73">
        <v>95.494118</v>
      </c>
      <c r="Y73" t="s">
        <v>114</v>
      </c>
      <c r="Z73">
        <v>-1</v>
      </c>
      <c r="AA73">
        <v>-1</v>
      </c>
      <c r="AB73">
        <v>-0.5</v>
      </c>
      <c r="AC73">
        <v>3.9931809999999999</v>
      </c>
      <c r="AD73">
        <v>0.16</v>
      </c>
      <c r="AE73">
        <v>24.771999000000001</v>
      </c>
      <c r="AF73">
        <v>0</v>
      </c>
      <c r="AG73">
        <v>101.752754</v>
      </c>
      <c r="AH73">
        <v>-10.157712999999999</v>
      </c>
      <c r="AI73">
        <v>8.5058919999999993</v>
      </c>
      <c r="AJ73">
        <v>-38.101227000000002</v>
      </c>
      <c r="AK73">
        <v>46.693161000000003</v>
      </c>
      <c r="AL73">
        <v>72.628631999999996</v>
      </c>
      <c r="AM73">
        <v>332.050049</v>
      </c>
      <c r="AN73">
        <v>53.251347000000003</v>
      </c>
      <c r="AO73">
        <v>356.29583700000001</v>
      </c>
      <c r="AP73">
        <v>51.260508999999999</v>
      </c>
      <c r="AQ73">
        <v>97.777732999999998</v>
      </c>
      <c r="AR73">
        <v>121.642189</v>
      </c>
      <c r="AS73">
        <v>67.269615000000002</v>
      </c>
      <c r="AT73">
        <v>17.977936</v>
      </c>
      <c r="AU73">
        <v>40.017856999999999</v>
      </c>
      <c r="AV73">
        <v>69.276054000000002</v>
      </c>
      <c r="AW73">
        <v>356.20214800000002</v>
      </c>
      <c r="AX73">
        <v>51.250571999999998</v>
      </c>
      <c r="AY73">
        <v>91.884749999999997</v>
      </c>
      <c r="AZ73">
        <v>118.473495</v>
      </c>
      <c r="BA73">
        <v>71.262794</v>
      </c>
      <c r="BB73">
        <v>18.475909999999999</v>
      </c>
      <c r="BC73">
        <v>8.9449629999999996</v>
      </c>
      <c r="BD73">
        <v>80.546806000000004</v>
      </c>
      <c r="BE73">
        <v>41.012058000000003</v>
      </c>
      <c r="BF73">
        <v>41.218353</v>
      </c>
      <c r="BG73">
        <v>40.884720000000002</v>
      </c>
      <c r="BH73">
        <v>9</v>
      </c>
      <c r="BI73">
        <v>9</v>
      </c>
      <c r="BJ73">
        <v>0</v>
      </c>
      <c r="BK73">
        <v>0</v>
      </c>
      <c r="BL73">
        <v>0.1</v>
      </c>
      <c r="BM73">
        <v>1.508E-2</v>
      </c>
      <c r="BN73">
        <v>-1</v>
      </c>
      <c r="BO73">
        <v>3</v>
      </c>
      <c r="BP73">
        <v>1</v>
      </c>
      <c r="BQ73">
        <v>0.20999699999999999</v>
      </c>
      <c r="BR73">
        <v>156.88954200000001</v>
      </c>
      <c r="BS73">
        <v>19.550723999999999</v>
      </c>
      <c r="BT73">
        <v>7.2099999999999996E-4</v>
      </c>
      <c r="BU73">
        <v>38.847191000000002</v>
      </c>
      <c r="BV73">
        <v>0.98302599999999996</v>
      </c>
      <c r="BW73">
        <v>0.336482</v>
      </c>
      <c r="BX73">
        <v>5.6009789999999997</v>
      </c>
      <c r="BY73">
        <v>17.673947999999999</v>
      </c>
      <c r="BZ73">
        <v>0.51988699999999999</v>
      </c>
      <c r="CA73">
        <v>2020</v>
      </c>
      <c r="CB73">
        <v>1</v>
      </c>
      <c r="CC73">
        <v>21</v>
      </c>
      <c r="CD73">
        <v>0</v>
      </c>
      <c r="CE73">
        <v>4</v>
      </c>
      <c r="CF73">
        <v>47.790000999999997</v>
      </c>
      <c r="CG73">
        <v>2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-7.6010999999999995E-2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</row>
    <row r="74" spans="1:105" x14ac:dyDescent="0.25">
      <c r="A74">
        <v>73</v>
      </c>
      <c r="B74" t="s">
        <v>205</v>
      </c>
      <c r="C74">
        <v>58869.031193000003</v>
      </c>
      <c r="D74">
        <v>300.1474</v>
      </c>
      <c r="E74" s="3" t="s">
        <v>113</v>
      </c>
      <c r="F74" s="3" t="s">
        <v>143</v>
      </c>
      <c r="G74">
        <v>0.72677400000000003</v>
      </c>
      <c r="H74">
        <v>119.369781</v>
      </c>
      <c r="I74">
        <v>21.504474999999999</v>
      </c>
      <c r="J74">
        <v>118.14064</v>
      </c>
      <c r="K74">
        <v>19.381008000000001</v>
      </c>
      <c r="L74">
        <v>116.42755099999999</v>
      </c>
      <c r="M74">
        <v>-1.5113270000000001</v>
      </c>
      <c r="N74">
        <v>22.986371999999999</v>
      </c>
      <c r="O74">
        <v>22.986371999999999</v>
      </c>
      <c r="P74">
        <v>20.134398999999998</v>
      </c>
      <c r="Q74">
        <v>37.346127000000003</v>
      </c>
      <c r="R74">
        <v>2.1722980000000001</v>
      </c>
      <c r="S74">
        <v>0.63812100000000005</v>
      </c>
      <c r="T74">
        <v>0.70624600000000004</v>
      </c>
      <c r="U74">
        <v>3.2029779999999999</v>
      </c>
      <c r="V74">
        <v>81.326744000000005</v>
      </c>
      <c r="W74">
        <v>120.144203</v>
      </c>
      <c r="X74">
        <v>0.96545700000000001</v>
      </c>
      <c r="Y74" t="s">
        <v>182</v>
      </c>
      <c r="Z74">
        <v>5.9290929999999999</v>
      </c>
      <c r="AA74">
        <v>12.459133</v>
      </c>
      <c r="AB74">
        <v>0.7</v>
      </c>
      <c r="AC74">
        <v>7.1130319999999996</v>
      </c>
      <c r="AD74">
        <v>0.56000000000000005</v>
      </c>
      <c r="AE74">
        <v>14.48</v>
      </c>
      <c r="AF74">
        <v>0</v>
      </c>
      <c r="AG74">
        <v>29.172343999999999</v>
      </c>
      <c r="AH74">
        <v>0.50110299999999997</v>
      </c>
      <c r="AI74">
        <v>254.283005</v>
      </c>
      <c r="AJ74">
        <v>9.9989080000000001</v>
      </c>
      <c r="AK74">
        <v>225.279922</v>
      </c>
      <c r="AL74">
        <v>89.483718999999994</v>
      </c>
      <c r="AM74">
        <v>0.95078099999999999</v>
      </c>
      <c r="AN74">
        <v>50.875954</v>
      </c>
      <c r="AO74">
        <v>357.06320199999999</v>
      </c>
      <c r="AP74">
        <v>51.444884999999999</v>
      </c>
      <c r="AQ74">
        <v>78.498985000000005</v>
      </c>
      <c r="AR74">
        <v>100.74833700000001</v>
      </c>
      <c r="AS74">
        <v>68.637900999999999</v>
      </c>
      <c r="AT74">
        <v>44.720188</v>
      </c>
      <c r="AU74">
        <v>295.30584700000003</v>
      </c>
      <c r="AV74">
        <v>82.727089000000007</v>
      </c>
      <c r="AW74">
        <v>357.089203</v>
      </c>
      <c r="AX74">
        <v>51.500698</v>
      </c>
      <c r="AY74">
        <v>67.432793000000004</v>
      </c>
      <c r="AZ74">
        <v>96.800781000000001</v>
      </c>
      <c r="BA74">
        <v>75.750930999999994</v>
      </c>
      <c r="BB74">
        <v>47.082915999999997</v>
      </c>
      <c r="BC74">
        <v>12.872369000000001</v>
      </c>
      <c r="BD74">
        <v>195.61172500000001</v>
      </c>
      <c r="BE74">
        <v>59.283337000000003</v>
      </c>
      <c r="BF74">
        <v>59.831657</v>
      </c>
      <c r="BG74">
        <v>57.528004000000003</v>
      </c>
      <c r="BH74">
        <v>29</v>
      </c>
      <c r="BI74">
        <v>5</v>
      </c>
      <c r="BJ74">
        <v>82.758621000000005</v>
      </c>
      <c r="BK74">
        <v>0</v>
      </c>
      <c r="BL74">
        <v>0.1</v>
      </c>
      <c r="BM74">
        <v>8.0099999999999998E-3</v>
      </c>
      <c r="BN74">
        <v>-1</v>
      </c>
      <c r="BO74">
        <v>3</v>
      </c>
      <c r="BP74">
        <v>1</v>
      </c>
      <c r="BQ74">
        <v>2.97</v>
      </c>
      <c r="BR74">
        <v>79.592231999999996</v>
      </c>
      <c r="BS74">
        <v>49.068333000000003</v>
      </c>
      <c r="BT74">
        <v>4.3230999999999999E-2</v>
      </c>
      <c r="BU74">
        <v>43.412716000000003</v>
      </c>
      <c r="BV74">
        <v>0.57414500000000002</v>
      </c>
      <c r="BW74">
        <v>2.4156520000000001</v>
      </c>
      <c r="BX74">
        <v>1.4305920000000001</v>
      </c>
      <c r="BY74">
        <v>1.953454</v>
      </c>
      <c r="BZ74">
        <v>0.78230599999999995</v>
      </c>
      <c r="CA74">
        <v>2020</v>
      </c>
      <c r="CB74">
        <v>1</v>
      </c>
      <c r="CC74">
        <v>21</v>
      </c>
      <c r="CD74">
        <v>0</v>
      </c>
      <c r="CE74">
        <v>44</v>
      </c>
      <c r="CF74">
        <v>55.049995000000003</v>
      </c>
      <c r="CG74">
        <v>2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0.46034199999999997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</row>
    <row r="75" spans="1:105" x14ac:dyDescent="0.25">
      <c r="A75">
        <v>74</v>
      </c>
      <c r="B75" t="s">
        <v>206</v>
      </c>
      <c r="C75">
        <v>58869.053835999999</v>
      </c>
      <c r="D75">
        <v>300.17047100000002</v>
      </c>
      <c r="E75" s="3" t="s">
        <v>113</v>
      </c>
      <c r="F75" s="3" t="s">
        <v>122</v>
      </c>
      <c r="G75">
        <v>-0.26949600000000001</v>
      </c>
      <c r="H75">
        <v>168.99298099999999</v>
      </c>
      <c r="I75">
        <v>32.371310999999999</v>
      </c>
      <c r="J75">
        <v>169.04359400000001</v>
      </c>
      <c r="K75">
        <v>32.025466999999999</v>
      </c>
      <c r="L75">
        <v>156.68313599999999</v>
      </c>
      <c r="M75">
        <v>24.989805</v>
      </c>
      <c r="N75">
        <v>40.956944</v>
      </c>
      <c r="O75">
        <v>40.956944</v>
      </c>
      <c r="P75">
        <v>39.263454000000003</v>
      </c>
      <c r="Q75">
        <v>34.162745999999999</v>
      </c>
      <c r="R75">
        <v>1.3948149999999999</v>
      </c>
      <c r="S75">
        <v>0.211317</v>
      </c>
      <c r="T75">
        <v>0.84849799999999997</v>
      </c>
      <c r="U75">
        <v>1.6479710000000001</v>
      </c>
      <c r="V75">
        <v>315.29193099999998</v>
      </c>
      <c r="W75">
        <v>300.170502</v>
      </c>
      <c r="X75">
        <v>61.250027000000003</v>
      </c>
      <c r="Y75" t="s">
        <v>165</v>
      </c>
      <c r="Z75">
        <v>0.95759499999999997</v>
      </c>
      <c r="AA75">
        <v>2.2303440000000001</v>
      </c>
      <c r="AB75">
        <v>0.8</v>
      </c>
      <c r="AC75">
        <v>1.653985</v>
      </c>
      <c r="AD75">
        <v>0.12</v>
      </c>
      <c r="AE75">
        <v>13.529</v>
      </c>
      <c r="AF75">
        <v>0</v>
      </c>
      <c r="AG75">
        <v>71.349357999999995</v>
      </c>
      <c r="AH75">
        <v>11.850110000000001</v>
      </c>
      <c r="AI75">
        <v>324.37991299999999</v>
      </c>
      <c r="AJ75">
        <v>-33.171619</v>
      </c>
      <c r="AK75">
        <v>306.29251099999999</v>
      </c>
      <c r="AL75">
        <v>69.932793000000004</v>
      </c>
      <c r="AM75">
        <v>3.98386</v>
      </c>
      <c r="AN75">
        <v>31.096219999999999</v>
      </c>
      <c r="AO75">
        <v>357.19183299999997</v>
      </c>
      <c r="AP75">
        <v>52.125518999999997</v>
      </c>
      <c r="AQ75">
        <v>86.341949</v>
      </c>
      <c r="AR75">
        <v>164.32217399999999</v>
      </c>
      <c r="AS75">
        <v>73.146614</v>
      </c>
      <c r="AT75">
        <v>68.880188000000004</v>
      </c>
      <c r="AU75">
        <v>309.00433299999997</v>
      </c>
      <c r="AV75">
        <v>68.585776999999993</v>
      </c>
      <c r="AW75">
        <v>357.15963699999998</v>
      </c>
      <c r="AX75">
        <v>52.135567000000002</v>
      </c>
      <c r="AY75">
        <v>82.116646000000003</v>
      </c>
      <c r="AZ75">
        <v>162.965149</v>
      </c>
      <c r="BA75">
        <v>74.800597999999994</v>
      </c>
      <c r="BB75">
        <v>70.152023</v>
      </c>
      <c r="BC75">
        <v>4.9148329999999998</v>
      </c>
      <c r="BD75">
        <v>116.993103</v>
      </c>
      <c r="BE75">
        <v>59.061562000000002</v>
      </c>
      <c r="BF75">
        <v>59.528824</v>
      </c>
      <c r="BG75">
        <v>59.244629000000003</v>
      </c>
      <c r="BH75">
        <v>7</v>
      </c>
      <c r="BI75">
        <v>7</v>
      </c>
      <c r="BJ75">
        <v>0</v>
      </c>
      <c r="BK75">
        <v>17</v>
      </c>
      <c r="BL75">
        <v>3.5439999999999999E-2</v>
      </c>
      <c r="BM75">
        <v>2.1409999999999998E-2</v>
      </c>
      <c r="BN75">
        <v>-1</v>
      </c>
      <c r="BO75">
        <v>3</v>
      </c>
      <c r="BP75">
        <v>1</v>
      </c>
      <c r="BQ75">
        <v>4.0002000000000003E-2</v>
      </c>
      <c r="BR75">
        <v>239.824341</v>
      </c>
      <c r="BS75">
        <v>77.082320999999993</v>
      </c>
      <c r="BT75">
        <v>6.9999999999999994E-5</v>
      </c>
      <c r="BU75">
        <v>55.634799999999998</v>
      </c>
      <c r="BV75">
        <v>9.6793139999999998</v>
      </c>
      <c r="BW75">
        <v>0.34848600000000002</v>
      </c>
      <c r="BX75">
        <v>2.0198390000000002</v>
      </c>
      <c r="BY75">
        <v>2.147402</v>
      </c>
      <c r="BZ75">
        <v>0.93167999999999995</v>
      </c>
      <c r="CA75">
        <v>2020</v>
      </c>
      <c r="CB75">
        <v>1</v>
      </c>
      <c r="CC75">
        <v>21</v>
      </c>
      <c r="CD75">
        <v>1</v>
      </c>
      <c r="CE75">
        <v>17</v>
      </c>
      <c r="CF75">
        <v>31.449997</v>
      </c>
      <c r="CG75">
        <v>2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0.71694100000000005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</row>
    <row r="76" spans="1:105" x14ac:dyDescent="0.25">
      <c r="A76">
        <v>75</v>
      </c>
      <c r="B76" t="s">
        <v>206</v>
      </c>
      <c r="C76">
        <v>58869.053835999999</v>
      </c>
      <c r="D76">
        <v>300.17047100000002</v>
      </c>
      <c r="E76" s="3" t="s">
        <v>125</v>
      </c>
      <c r="F76" s="3" t="s">
        <v>106</v>
      </c>
      <c r="G76">
        <v>-0.91134999999999999</v>
      </c>
      <c r="H76">
        <v>169.07304400000001</v>
      </c>
      <c r="I76">
        <v>33.239803000000002</v>
      </c>
      <c r="J76">
        <v>169.13621499999999</v>
      </c>
      <c r="K76">
        <v>32.890366</v>
      </c>
      <c r="L76">
        <v>156.34721400000001</v>
      </c>
      <c r="M76">
        <v>25.803481999999999</v>
      </c>
      <c r="N76">
        <v>40.160294</v>
      </c>
      <c r="O76">
        <v>40.160294</v>
      </c>
      <c r="P76">
        <v>38.44453</v>
      </c>
      <c r="Q76">
        <v>33.893020999999997</v>
      </c>
      <c r="R76">
        <v>1.355688</v>
      </c>
      <c r="S76">
        <v>0.22422500000000001</v>
      </c>
      <c r="T76">
        <v>0.83460400000000001</v>
      </c>
      <c r="U76">
        <v>1.5791170000000001</v>
      </c>
      <c r="V76">
        <v>314.20843500000001</v>
      </c>
      <c r="W76">
        <v>300.170502</v>
      </c>
      <c r="X76">
        <v>59.532631000000002</v>
      </c>
      <c r="Y76" t="s">
        <v>165</v>
      </c>
      <c r="Z76">
        <v>0.13597799999999999</v>
      </c>
      <c r="AA76">
        <v>4.2695410000000003</v>
      </c>
      <c r="AB76">
        <v>-0.3</v>
      </c>
      <c r="AC76">
        <v>3.4316300000000002</v>
      </c>
      <c r="AD76">
        <v>0.2</v>
      </c>
      <c r="AE76">
        <v>17.492000999999998</v>
      </c>
      <c r="AF76">
        <v>0</v>
      </c>
      <c r="AG76">
        <v>113.036858</v>
      </c>
      <c r="AH76">
        <v>-40.445701999999997</v>
      </c>
      <c r="AI76">
        <v>325.79769900000002</v>
      </c>
      <c r="AJ76">
        <v>-33.594310999999998</v>
      </c>
      <c r="AK76">
        <v>65.348640000000003</v>
      </c>
      <c r="AL76">
        <v>38.297749000000003</v>
      </c>
      <c r="AM76">
        <v>284.64218099999999</v>
      </c>
      <c r="AN76">
        <v>39.456440000000001</v>
      </c>
      <c r="AO76">
        <v>357.24749800000001</v>
      </c>
      <c r="AP76">
        <v>52.094276000000001</v>
      </c>
      <c r="AQ76">
        <v>85.086937000000006</v>
      </c>
      <c r="AR76">
        <v>133.137146</v>
      </c>
      <c r="AS76">
        <v>79.398292999999995</v>
      </c>
      <c r="AT76">
        <v>27.023969999999998</v>
      </c>
      <c r="AU76">
        <v>61.828220000000002</v>
      </c>
      <c r="AV76">
        <v>36.313296999999999</v>
      </c>
      <c r="AW76">
        <v>357.19537400000002</v>
      </c>
      <c r="AX76">
        <v>52.109715000000001</v>
      </c>
      <c r="AY76">
        <v>78.135551000000007</v>
      </c>
      <c r="AZ76">
        <v>131.895905</v>
      </c>
      <c r="BA76">
        <v>82.829926</v>
      </c>
      <c r="BB76">
        <v>27.299326000000001</v>
      </c>
      <c r="BC76">
        <v>8.0320590000000003</v>
      </c>
      <c r="BD76">
        <v>115.79982800000001</v>
      </c>
      <c r="BE76">
        <v>59.719051</v>
      </c>
      <c r="BF76">
        <v>60.611927000000001</v>
      </c>
      <c r="BG76">
        <v>60.31279</v>
      </c>
      <c r="BH76">
        <v>11</v>
      </c>
      <c r="BI76">
        <v>11</v>
      </c>
      <c r="BJ76">
        <v>0</v>
      </c>
      <c r="BK76">
        <v>39</v>
      </c>
      <c r="BL76">
        <v>2.3400000000000001E-2</v>
      </c>
      <c r="BM76">
        <v>1.163E-2</v>
      </c>
      <c r="BN76">
        <v>-1</v>
      </c>
      <c r="BO76">
        <v>3</v>
      </c>
      <c r="BP76">
        <v>1</v>
      </c>
      <c r="BQ76">
        <v>0.16000700000000001</v>
      </c>
      <c r="BR76">
        <v>105.113434</v>
      </c>
      <c r="BS76">
        <v>27.532644000000001</v>
      </c>
      <c r="BT76">
        <v>5.5900000000000004E-4</v>
      </c>
      <c r="BU76">
        <v>75.568473999999995</v>
      </c>
      <c r="BV76">
        <v>1.94401</v>
      </c>
      <c r="BW76">
        <v>0.35342499999999999</v>
      </c>
      <c r="BX76">
        <v>1.404962</v>
      </c>
      <c r="BY76">
        <v>3.063329</v>
      </c>
      <c r="BZ76">
        <v>0.90431600000000001</v>
      </c>
      <c r="CA76">
        <v>2020</v>
      </c>
      <c r="CB76">
        <v>1</v>
      </c>
      <c r="CC76">
        <v>21</v>
      </c>
      <c r="CD76">
        <v>1</v>
      </c>
      <c r="CE76">
        <v>17</v>
      </c>
      <c r="CF76">
        <v>31.449997</v>
      </c>
      <c r="CG76">
        <v>2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0.73763299999999998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</row>
    <row r="77" spans="1:105" x14ac:dyDescent="0.25">
      <c r="A77">
        <v>76</v>
      </c>
      <c r="B77" t="s">
        <v>207</v>
      </c>
      <c r="C77">
        <v>58869.083936000003</v>
      </c>
      <c r="D77">
        <v>300.20111100000003</v>
      </c>
      <c r="E77" s="3" t="s">
        <v>125</v>
      </c>
      <c r="F77" s="3" t="s">
        <v>106</v>
      </c>
      <c r="G77">
        <v>0.89337500000000003</v>
      </c>
      <c r="H77">
        <v>103.228821</v>
      </c>
      <c r="I77">
        <v>22.385494000000001</v>
      </c>
      <c r="J77">
        <v>97.633101999999994</v>
      </c>
      <c r="K77">
        <v>16.098524000000001</v>
      </c>
      <c r="L77">
        <v>97.389770999999996</v>
      </c>
      <c r="M77">
        <v>-7.1425789999999996</v>
      </c>
      <c r="N77">
        <v>16.172667000000001</v>
      </c>
      <c r="O77">
        <v>16.172667000000001</v>
      </c>
      <c r="P77">
        <v>11.949560999999999</v>
      </c>
      <c r="Q77">
        <v>36.527374000000002</v>
      </c>
      <c r="R77">
        <v>1.8921060000000001</v>
      </c>
      <c r="S77">
        <v>0.86044200000000004</v>
      </c>
      <c r="T77">
        <v>0.54524600000000001</v>
      </c>
      <c r="U77">
        <v>2.6037119999999998</v>
      </c>
      <c r="V77">
        <v>49.898688999999997</v>
      </c>
      <c r="W77">
        <v>120.199791</v>
      </c>
      <c r="X77">
        <v>2.4416859999999998</v>
      </c>
      <c r="Y77" t="s">
        <v>114</v>
      </c>
      <c r="Z77">
        <v>-1</v>
      </c>
      <c r="AA77">
        <v>-1</v>
      </c>
      <c r="AB77">
        <v>0.5</v>
      </c>
      <c r="AC77">
        <v>1.816481</v>
      </c>
      <c r="AD77">
        <v>0.62</v>
      </c>
      <c r="AE77">
        <v>3.0369999999999999</v>
      </c>
      <c r="AF77">
        <v>0</v>
      </c>
      <c r="AG77">
        <v>8.0949539999999995</v>
      </c>
      <c r="AH77">
        <v>12.257491999999999</v>
      </c>
      <c r="AI77">
        <v>206.40222199999999</v>
      </c>
      <c r="AJ77">
        <v>34.710667000000001</v>
      </c>
      <c r="AK77">
        <v>107.28968</v>
      </c>
      <c r="AL77">
        <v>36.333958000000003</v>
      </c>
      <c r="AM77">
        <v>258.14102200000002</v>
      </c>
      <c r="AN77">
        <v>57.156075000000001</v>
      </c>
      <c r="AO77">
        <v>358.00805700000001</v>
      </c>
      <c r="AP77">
        <v>51.781708000000002</v>
      </c>
      <c r="AQ77">
        <v>74.259285000000006</v>
      </c>
      <c r="AR77">
        <v>88.267120000000006</v>
      </c>
      <c r="AS77">
        <v>14.386240000000001</v>
      </c>
      <c r="AT77">
        <v>10.659646</v>
      </c>
      <c r="AU77">
        <v>107.89780399999999</v>
      </c>
      <c r="AV77">
        <v>38.084693999999999</v>
      </c>
      <c r="AW77">
        <v>358.10199</v>
      </c>
      <c r="AX77">
        <v>51.806331999999998</v>
      </c>
      <c r="AY77">
        <v>67.200912000000002</v>
      </c>
      <c r="AZ77">
        <v>78.593979000000004</v>
      </c>
      <c r="BA77">
        <v>16.202721</v>
      </c>
      <c r="BB77">
        <v>11.989984</v>
      </c>
      <c r="BC77">
        <v>10.027053</v>
      </c>
      <c r="BD77">
        <v>246.538284</v>
      </c>
      <c r="BE77">
        <v>44.924824000000001</v>
      </c>
      <c r="BF77">
        <v>44.507663999999998</v>
      </c>
      <c r="BG77">
        <v>36.309024999999998</v>
      </c>
      <c r="BH77">
        <v>32</v>
      </c>
      <c r="BI77">
        <v>21</v>
      </c>
      <c r="BJ77">
        <v>34.375</v>
      </c>
      <c r="BK77">
        <v>43</v>
      </c>
      <c r="BL77">
        <v>2.6679999999999999E-2</v>
      </c>
      <c r="BM77">
        <v>2.266E-2</v>
      </c>
      <c r="BN77">
        <v>-1</v>
      </c>
      <c r="BO77">
        <v>3</v>
      </c>
      <c r="BP77">
        <v>1</v>
      </c>
      <c r="BQ77">
        <v>0.300008</v>
      </c>
      <c r="BR77">
        <v>105.114677</v>
      </c>
      <c r="BS77">
        <v>48.115504999999999</v>
      </c>
      <c r="BT77">
        <v>9.7900000000000005E-4</v>
      </c>
      <c r="BU77">
        <v>27.173983</v>
      </c>
      <c r="BV77">
        <v>2.9717739999999999</v>
      </c>
      <c r="BW77">
        <v>8.209543</v>
      </c>
      <c r="BX77">
        <v>0.367649</v>
      </c>
      <c r="BY77">
        <v>1.769752</v>
      </c>
      <c r="BZ77">
        <v>0.87813300000000005</v>
      </c>
      <c r="CA77">
        <v>2020</v>
      </c>
      <c r="CB77">
        <v>1</v>
      </c>
      <c r="CC77">
        <v>21</v>
      </c>
      <c r="CD77">
        <v>2</v>
      </c>
      <c r="CE77">
        <v>0</v>
      </c>
      <c r="CF77">
        <v>52.029995</v>
      </c>
      <c r="CG77">
        <v>2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0.52851199999999998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</row>
    <row r="78" spans="1:105" x14ac:dyDescent="0.25">
      <c r="A78">
        <v>77</v>
      </c>
      <c r="B78" t="s">
        <v>208</v>
      </c>
      <c r="C78">
        <v>58869.094665999997</v>
      </c>
      <c r="D78">
        <v>300.21203600000001</v>
      </c>
      <c r="E78" s="3" t="s">
        <v>125</v>
      </c>
      <c r="F78" s="3" t="s">
        <v>122</v>
      </c>
      <c r="G78">
        <v>-1.2739279999999999</v>
      </c>
      <c r="H78">
        <v>169.76503</v>
      </c>
      <c r="I78">
        <v>31.459692</v>
      </c>
      <c r="J78">
        <v>169.57513399999999</v>
      </c>
      <c r="K78">
        <v>31.093430000000001</v>
      </c>
      <c r="L78">
        <v>157.57418799999999</v>
      </c>
      <c r="M78">
        <v>24.343157000000001</v>
      </c>
      <c r="N78">
        <v>41.505707000000001</v>
      </c>
      <c r="O78">
        <v>41.505707000000001</v>
      </c>
      <c r="P78">
        <v>39.898079000000003</v>
      </c>
      <c r="Q78">
        <v>34.112304999999999</v>
      </c>
      <c r="R78">
        <v>1.3873169999999999</v>
      </c>
      <c r="S78">
        <v>0.198626</v>
      </c>
      <c r="T78">
        <v>0.85682800000000003</v>
      </c>
      <c r="U78">
        <v>1.6347020000000001</v>
      </c>
      <c r="V78">
        <v>316.85760499999998</v>
      </c>
      <c r="W78">
        <v>300.21206699999999</v>
      </c>
      <c r="X78">
        <v>63.457050000000002</v>
      </c>
      <c r="Y78" t="s">
        <v>165</v>
      </c>
      <c r="Z78">
        <v>1.94912</v>
      </c>
      <c r="AA78">
        <v>0.65007000000000004</v>
      </c>
      <c r="AB78">
        <v>-0.1</v>
      </c>
      <c r="AC78">
        <v>1.65076</v>
      </c>
      <c r="AD78">
        <v>0.12</v>
      </c>
      <c r="AE78">
        <v>13.916</v>
      </c>
      <c r="AF78">
        <v>0</v>
      </c>
      <c r="AG78">
        <v>106.404297</v>
      </c>
      <c r="AH78">
        <v>-36.235191</v>
      </c>
      <c r="AI78">
        <v>301.19278000000003</v>
      </c>
      <c r="AJ78">
        <v>-23.369067999999999</v>
      </c>
      <c r="AK78">
        <v>58.915675999999998</v>
      </c>
      <c r="AL78">
        <v>42.678787</v>
      </c>
      <c r="AM78">
        <v>301.74496499999998</v>
      </c>
      <c r="AN78">
        <v>30.441144999999999</v>
      </c>
      <c r="AO78">
        <v>356.848389</v>
      </c>
      <c r="AP78">
        <v>52.551288999999997</v>
      </c>
      <c r="AQ78">
        <v>88.348228000000006</v>
      </c>
      <c r="AR78">
        <v>171.99569700000001</v>
      </c>
      <c r="AS78">
        <v>82.495994999999994</v>
      </c>
      <c r="AT78">
        <v>32.888584000000002</v>
      </c>
      <c r="AU78">
        <v>57.138427999999998</v>
      </c>
      <c r="AV78">
        <v>41.683413999999999</v>
      </c>
      <c r="AW78">
        <v>356.82833900000003</v>
      </c>
      <c r="AX78">
        <v>52.565441</v>
      </c>
      <c r="AY78">
        <v>83.840880999999996</v>
      </c>
      <c r="AZ78">
        <v>171.416382</v>
      </c>
      <c r="BA78">
        <v>84.146759000000003</v>
      </c>
      <c r="BB78">
        <v>33.013885000000002</v>
      </c>
      <c r="BC78">
        <v>4.9806840000000001</v>
      </c>
      <c r="BD78">
        <v>139.11376999999999</v>
      </c>
      <c r="BE78">
        <v>64.621544</v>
      </c>
      <c r="BF78">
        <v>65.866455000000002</v>
      </c>
      <c r="BG78">
        <v>65.611014999999995</v>
      </c>
      <c r="BH78">
        <v>7</v>
      </c>
      <c r="BI78">
        <v>7</v>
      </c>
      <c r="BJ78">
        <v>0</v>
      </c>
      <c r="BK78">
        <v>38</v>
      </c>
      <c r="BL78">
        <v>2.9170000000000001E-2</v>
      </c>
      <c r="BM78">
        <v>1.3809999999999999E-2</v>
      </c>
      <c r="BN78">
        <v>-1</v>
      </c>
      <c r="BO78">
        <v>3</v>
      </c>
      <c r="BP78">
        <v>1</v>
      </c>
      <c r="BQ78">
        <v>0.05</v>
      </c>
      <c r="BR78">
        <v>98.432700999999994</v>
      </c>
      <c r="BS78">
        <v>33.209212999999998</v>
      </c>
      <c r="BT78">
        <v>9.7999999999999997E-5</v>
      </c>
      <c r="BU78">
        <v>63.00177</v>
      </c>
      <c r="BV78">
        <v>11.109491</v>
      </c>
      <c r="BW78">
        <v>0.40061000000000002</v>
      </c>
      <c r="BX78">
        <v>3.200669</v>
      </c>
      <c r="BY78">
        <v>5.8744860000000001</v>
      </c>
      <c r="BZ78">
        <v>0.82033299999999998</v>
      </c>
      <c r="CA78">
        <v>2020</v>
      </c>
      <c r="CB78">
        <v>1</v>
      </c>
      <c r="CC78">
        <v>21</v>
      </c>
      <c r="CD78">
        <v>2</v>
      </c>
      <c r="CE78">
        <v>16</v>
      </c>
      <c r="CF78">
        <v>19.119999</v>
      </c>
      <c r="CG78">
        <v>2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0.72081600000000001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</row>
    <row r="79" spans="1:105" x14ac:dyDescent="0.25">
      <c r="A79">
        <v>78</v>
      </c>
      <c r="B79" t="s">
        <v>209</v>
      </c>
      <c r="C79">
        <v>58869.147283999999</v>
      </c>
      <c r="D79">
        <v>300.26559400000002</v>
      </c>
      <c r="E79" s="3" t="s">
        <v>125</v>
      </c>
      <c r="F79" s="3" t="s">
        <v>143</v>
      </c>
      <c r="G79">
        <v>-2.6970320000000001</v>
      </c>
      <c r="H79">
        <v>213.147232</v>
      </c>
      <c r="I79">
        <v>20.23057</v>
      </c>
      <c r="J79">
        <v>213.16830400000001</v>
      </c>
      <c r="K79">
        <v>19.993597000000001</v>
      </c>
      <c r="L79">
        <v>203.11225899999999</v>
      </c>
      <c r="M79">
        <v>31.211162999999999</v>
      </c>
      <c r="N79">
        <v>65.138405000000006</v>
      </c>
      <c r="O79">
        <v>65.138405000000006</v>
      </c>
      <c r="P79">
        <v>63.991202999999999</v>
      </c>
      <c r="Q79">
        <v>41.487822999999999</v>
      </c>
      <c r="R79">
        <v>10.837592000000001</v>
      </c>
      <c r="S79">
        <v>0.95743100000000003</v>
      </c>
      <c r="T79">
        <v>0.91165600000000002</v>
      </c>
      <c r="U79">
        <v>35.692248999999997</v>
      </c>
      <c r="V79">
        <v>199.37429800000001</v>
      </c>
      <c r="W79">
        <v>300.26556399999998</v>
      </c>
      <c r="X79">
        <v>125.929962</v>
      </c>
      <c r="Y79" t="s">
        <v>114</v>
      </c>
      <c r="Z79">
        <v>-1</v>
      </c>
      <c r="AA79">
        <v>-1</v>
      </c>
      <c r="AB79">
        <v>-2.1</v>
      </c>
      <c r="AC79">
        <v>9.6100100000000008</v>
      </c>
      <c r="AD79">
        <v>0.34</v>
      </c>
      <c r="AE79">
        <v>28.235001</v>
      </c>
      <c r="AF79">
        <v>0</v>
      </c>
      <c r="AG79">
        <v>321.68914799999999</v>
      </c>
      <c r="AH79">
        <v>40.790035000000003</v>
      </c>
      <c r="AI79">
        <v>324.12280299999998</v>
      </c>
      <c r="AJ79">
        <v>-33.065376000000001</v>
      </c>
      <c r="AK79">
        <v>116.42720799999999</v>
      </c>
      <c r="AL79">
        <v>46.344996999999999</v>
      </c>
      <c r="AM79">
        <v>283.322632</v>
      </c>
      <c r="AN79">
        <v>54.485537999999998</v>
      </c>
      <c r="AO79">
        <v>357.60522500000002</v>
      </c>
      <c r="AP79">
        <v>52.025779999999997</v>
      </c>
      <c r="AQ79">
        <v>108.257126</v>
      </c>
      <c r="AR79">
        <v>132.66017199999999</v>
      </c>
      <c r="AS79">
        <v>79.956657000000007</v>
      </c>
      <c r="AT79">
        <v>61.284427999999998</v>
      </c>
      <c r="AU79">
        <v>104.045349</v>
      </c>
      <c r="AV79">
        <v>42.541308999999998</v>
      </c>
      <c r="AW79">
        <v>357.40319799999997</v>
      </c>
      <c r="AX79">
        <v>52.090336000000001</v>
      </c>
      <c r="AY79">
        <v>92.817779999999999</v>
      </c>
      <c r="AZ79">
        <v>130.63104200000001</v>
      </c>
      <c r="BA79">
        <v>89.566672999999994</v>
      </c>
      <c r="BB79">
        <v>62.953601999999997</v>
      </c>
      <c r="BC79">
        <v>22.147057</v>
      </c>
      <c r="BD79">
        <v>117.46573600000001</v>
      </c>
      <c r="BE79">
        <v>44.061588</v>
      </c>
      <c r="BF79">
        <v>44.723095000000001</v>
      </c>
      <c r="BG79">
        <v>44.518020999999997</v>
      </c>
      <c r="BH79">
        <v>18</v>
      </c>
      <c r="BI79">
        <v>18</v>
      </c>
      <c r="BJ79">
        <v>0</v>
      </c>
      <c r="BK79">
        <v>29</v>
      </c>
      <c r="BL79">
        <v>2.409E-2</v>
      </c>
      <c r="BM79">
        <v>2.6419999999999999E-2</v>
      </c>
      <c r="BN79">
        <v>-1</v>
      </c>
      <c r="BO79">
        <v>3</v>
      </c>
      <c r="BP79">
        <v>1</v>
      </c>
      <c r="BQ79">
        <v>3.229997</v>
      </c>
      <c r="BR79">
        <v>143.78514100000001</v>
      </c>
      <c r="BS79">
        <v>62.956814000000001</v>
      </c>
      <c r="BT79">
        <v>1.133E-2</v>
      </c>
      <c r="BU79">
        <v>71.371262000000002</v>
      </c>
      <c r="BV79">
        <v>0.20011200000000001</v>
      </c>
      <c r="BW79">
        <v>0.23779700000000001</v>
      </c>
      <c r="BX79">
        <v>0.31724799999999997</v>
      </c>
      <c r="BY79">
        <v>0.35620299999999999</v>
      </c>
      <c r="BZ79">
        <v>0.98519199999999996</v>
      </c>
      <c r="CA79">
        <v>2020</v>
      </c>
      <c r="CB79">
        <v>1</v>
      </c>
      <c r="CC79">
        <v>21</v>
      </c>
      <c r="CD79">
        <v>3</v>
      </c>
      <c r="CE79">
        <v>32</v>
      </c>
      <c r="CF79">
        <v>5.3300010000000002</v>
      </c>
      <c r="CG79">
        <v>2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9.2271000000000006E-2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</row>
    <row r="80" spans="1:105" x14ac:dyDescent="0.25">
      <c r="A80">
        <v>79</v>
      </c>
      <c r="B80" t="s">
        <v>209</v>
      </c>
      <c r="C80">
        <v>58869.147283999999</v>
      </c>
      <c r="D80">
        <v>300.26559400000002</v>
      </c>
      <c r="E80" s="3" t="s">
        <v>122</v>
      </c>
      <c r="F80" s="3" t="s">
        <v>106</v>
      </c>
      <c r="G80">
        <v>-2.6048290000000001</v>
      </c>
      <c r="H80">
        <v>212.17683400000001</v>
      </c>
      <c r="I80">
        <v>20.648256</v>
      </c>
      <c r="J80">
        <v>212.46751399999999</v>
      </c>
      <c r="K80">
        <v>19.903687000000001</v>
      </c>
      <c r="L80">
        <v>202.44528199999999</v>
      </c>
      <c r="M80">
        <v>30.871386999999999</v>
      </c>
      <c r="N80">
        <v>38.883209000000001</v>
      </c>
      <c r="O80">
        <v>38.883209000000001</v>
      </c>
      <c r="P80">
        <v>37.063889000000003</v>
      </c>
      <c r="Q80">
        <v>19.508635999999999</v>
      </c>
      <c r="R80">
        <v>0.62363599999999997</v>
      </c>
      <c r="S80">
        <v>0.24718899999999999</v>
      </c>
      <c r="T80">
        <v>0.60363199999999995</v>
      </c>
      <c r="U80">
        <v>0.49268699999999999</v>
      </c>
      <c r="V80">
        <v>351.59964000000002</v>
      </c>
      <c r="W80">
        <v>300.26559400000002</v>
      </c>
      <c r="X80">
        <v>93.739227</v>
      </c>
      <c r="Y80" t="s">
        <v>114</v>
      </c>
      <c r="Z80">
        <v>-1</v>
      </c>
      <c r="AA80">
        <v>-1</v>
      </c>
      <c r="AB80">
        <v>-1.7</v>
      </c>
      <c r="AC80">
        <v>0.85790500000000003</v>
      </c>
      <c r="AD80">
        <v>0.06</v>
      </c>
      <c r="AE80">
        <v>20.882999000000002</v>
      </c>
      <c r="AF80">
        <v>0</v>
      </c>
      <c r="AG80">
        <v>10.39536</v>
      </c>
      <c r="AH80">
        <v>67.912231000000006</v>
      </c>
      <c r="AI80">
        <v>323.32971199999997</v>
      </c>
      <c r="AJ80">
        <v>-32.799706</v>
      </c>
      <c r="AK80">
        <v>132.348816</v>
      </c>
      <c r="AL80">
        <v>12.123822000000001</v>
      </c>
      <c r="AM80">
        <v>232.30931100000001</v>
      </c>
      <c r="AN80">
        <v>38.690322999999999</v>
      </c>
      <c r="AO80">
        <v>357.42974900000002</v>
      </c>
      <c r="AP80">
        <v>52.107684999999996</v>
      </c>
      <c r="AQ80">
        <v>96.007942</v>
      </c>
      <c r="AR80">
        <v>151.959518</v>
      </c>
      <c r="AS80">
        <v>76.370994999999994</v>
      </c>
      <c r="AT80">
        <v>62.209029999999998</v>
      </c>
      <c r="AU80">
        <v>131.51808199999999</v>
      </c>
      <c r="AV80">
        <v>11.848779</v>
      </c>
      <c r="AW80">
        <v>357.40884399999999</v>
      </c>
      <c r="AX80">
        <v>52.114544000000002</v>
      </c>
      <c r="AY80">
        <v>94.358231000000004</v>
      </c>
      <c r="AZ80">
        <v>151.42662000000001</v>
      </c>
      <c r="BA80">
        <v>77.228897000000003</v>
      </c>
      <c r="BB80">
        <v>62.594062999999998</v>
      </c>
      <c r="BC80">
        <v>2.3329930000000001</v>
      </c>
      <c r="BD80">
        <v>118.04836299999999</v>
      </c>
      <c r="BE80">
        <v>44.795265000000001</v>
      </c>
      <c r="BF80">
        <v>45.206328999999997</v>
      </c>
      <c r="BG80">
        <v>44.435924999999997</v>
      </c>
      <c r="BH80">
        <v>4</v>
      </c>
      <c r="BI80">
        <v>4</v>
      </c>
      <c r="BJ80">
        <v>0</v>
      </c>
      <c r="BK80">
        <v>22</v>
      </c>
      <c r="BL80">
        <v>2.1489999999999999E-2</v>
      </c>
      <c r="BM80">
        <v>2.5400000000000002E-3</v>
      </c>
      <c r="BN80">
        <v>-1</v>
      </c>
      <c r="BO80">
        <v>3</v>
      </c>
      <c r="BP80">
        <v>1</v>
      </c>
      <c r="BQ80">
        <v>0.190001</v>
      </c>
      <c r="BR80">
        <v>201.685654</v>
      </c>
      <c r="BS80">
        <v>65.547629999999998</v>
      </c>
      <c r="BT80">
        <v>4.424E-3</v>
      </c>
      <c r="BU80">
        <v>9.8902789999999996</v>
      </c>
      <c r="BV80">
        <v>27.015523999999999</v>
      </c>
      <c r="BW80">
        <v>0.79292499999999999</v>
      </c>
      <c r="BX80">
        <v>2.2507410000000001</v>
      </c>
      <c r="BY80">
        <v>2.5352809999999999</v>
      </c>
      <c r="BZ80">
        <v>0.92009200000000002</v>
      </c>
      <c r="CA80">
        <v>2020</v>
      </c>
      <c r="CB80">
        <v>1</v>
      </c>
      <c r="CC80">
        <v>21</v>
      </c>
      <c r="CD80">
        <v>3</v>
      </c>
      <c r="CE80">
        <v>32</v>
      </c>
      <c r="CF80">
        <v>5.3599949999999996</v>
      </c>
      <c r="CG80">
        <v>2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1.6034999999999999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</row>
    <row r="81" spans="1:105" x14ac:dyDescent="0.25">
      <c r="A81">
        <v>80</v>
      </c>
      <c r="B81" t="s">
        <v>210</v>
      </c>
      <c r="C81">
        <v>58869.211962000001</v>
      </c>
      <c r="D81">
        <v>300.33145100000002</v>
      </c>
      <c r="E81" s="3" t="s">
        <v>125</v>
      </c>
      <c r="F81" s="3" t="s">
        <v>154</v>
      </c>
      <c r="G81">
        <v>0.83035899999999996</v>
      </c>
      <c r="H81">
        <v>231.621353</v>
      </c>
      <c r="I81">
        <v>-2.1630129999999999</v>
      </c>
      <c r="J81">
        <v>232.16497799999999</v>
      </c>
      <c r="K81">
        <v>-4.2775999999999996</v>
      </c>
      <c r="L81">
        <v>230.88502500000001</v>
      </c>
      <c r="M81">
        <v>14.170788</v>
      </c>
      <c r="N81">
        <v>31.898132</v>
      </c>
      <c r="O81">
        <v>31.898132</v>
      </c>
      <c r="P81">
        <v>29.693138000000001</v>
      </c>
      <c r="Q81">
        <v>13.00756</v>
      </c>
      <c r="R81">
        <v>0.54295499999999997</v>
      </c>
      <c r="S81">
        <v>3.6028999999999999E-2</v>
      </c>
      <c r="T81">
        <v>0.933643</v>
      </c>
      <c r="U81">
        <v>0.40023999999999998</v>
      </c>
      <c r="V81">
        <v>5.5912199999999999</v>
      </c>
      <c r="W81">
        <v>300.33148199999999</v>
      </c>
      <c r="X81">
        <v>65.469161999999997</v>
      </c>
      <c r="Y81" t="s">
        <v>114</v>
      </c>
      <c r="Z81">
        <v>-1</v>
      </c>
      <c r="AA81">
        <v>-1</v>
      </c>
      <c r="AB81">
        <v>0.6</v>
      </c>
      <c r="AC81">
        <v>2.2553920000000001</v>
      </c>
      <c r="AD81">
        <v>0.12</v>
      </c>
      <c r="AE81">
        <v>18.665001</v>
      </c>
      <c r="AF81">
        <v>0</v>
      </c>
      <c r="AG81">
        <v>140.222992</v>
      </c>
      <c r="AH81">
        <v>-32.867161000000003</v>
      </c>
      <c r="AI81">
        <v>304.27032500000001</v>
      </c>
      <c r="AJ81">
        <v>-24.674040000000002</v>
      </c>
      <c r="AK81">
        <v>108.334633</v>
      </c>
      <c r="AL81">
        <v>52.730274000000001</v>
      </c>
      <c r="AM81">
        <v>307.281586</v>
      </c>
      <c r="AN81">
        <v>40.525658</v>
      </c>
      <c r="AO81">
        <v>-2.0989640000000001</v>
      </c>
      <c r="AP81">
        <v>52.234302999999997</v>
      </c>
      <c r="AQ81">
        <v>58.192225999999998</v>
      </c>
      <c r="AR81">
        <v>89.206642000000002</v>
      </c>
      <c r="AS81">
        <v>111.23241400000001</v>
      </c>
      <c r="AT81">
        <v>46.189762000000002</v>
      </c>
      <c r="AU81">
        <v>105.073677</v>
      </c>
      <c r="AV81">
        <v>51.683968</v>
      </c>
      <c r="AW81">
        <v>-2.1326640000000001</v>
      </c>
      <c r="AX81">
        <v>52.256442999999997</v>
      </c>
      <c r="AY81">
        <v>56.445526000000001</v>
      </c>
      <c r="AZ81">
        <v>90.663109000000006</v>
      </c>
      <c r="BA81">
        <v>113.487808</v>
      </c>
      <c r="BB81">
        <v>45.238472000000002</v>
      </c>
      <c r="BC81">
        <v>3.8277760000000001</v>
      </c>
      <c r="BD81">
        <v>136.78903199999999</v>
      </c>
      <c r="BE81">
        <v>26.992207000000001</v>
      </c>
      <c r="BF81">
        <v>27.588926000000001</v>
      </c>
      <c r="BG81">
        <v>25.439833</v>
      </c>
      <c r="BH81">
        <v>7</v>
      </c>
      <c r="BI81">
        <v>6</v>
      </c>
      <c r="BJ81">
        <v>14.285714</v>
      </c>
      <c r="BK81">
        <v>25</v>
      </c>
      <c r="BL81">
        <v>3.0089999999999999E-2</v>
      </c>
      <c r="BM81">
        <v>1.056E-2</v>
      </c>
      <c r="BN81">
        <v>-1</v>
      </c>
      <c r="BO81">
        <v>3</v>
      </c>
      <c r="BP81">
        <v>1</v>
      </c>
      <c r="BQ81">
        <v>3.1600009999999998</v>
      </c>
      <c r="BR81">
        <v>105.113434</v>
      </c>
      <c r="BS81">
        <v>50.731574999999999</v>
      </c>
      <c r="BT81">
        <v>4.5945109999999998</v>
      </c>
      <c r="BU81">
        <v>-38.896351000000003</v>
      </c>
      <c r="BV81">
        <v>98.263617999999994</v>
      </c>
      <c r="BW81">
        <v>2.1831269999999998</v>
      </c>
      <c r="BX81">
        <v>2.2151149999999999</v>
      </c>
      <c r="BY81">
        <v>3.1196890000000002</v>
      </c>
      <c r="BZ81">
        <v>0.87684300000000004</v>
      </c>
      <c r="CA81">
        <v>2020</v>
      </c>
      <c r="CB81">
        <v>1</v>
      </c>
      <c r="CC81">
        <v>21</v>
      </c>
      <c r="CD81">
        <v>5</v>
      </c>
      <c r="CE81">
        <v>5</v>
      </c>
      <c r="CF81">
        <v>13.550001999999999</v>
      </c>
      <c r="CG81">
        <v>2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1.841774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</row>
    <row r="82" spans="1:105" x14ac:dyDescent="0.25">
      <c r="A82">
        <v>81</v>
      </c>
      <c r="B82" t="s">
        <v>211</v>
      </c>
      <c r="C82">
        <v>58869.829937000002</v>
      </c>
      <c r="D82">
        <v>300.96057100000002</v>
      </c>
      <c r="E82" s="2" t="s">
        <v>106</v>
      </c>
      <c r="F82" s="2" t="s">
        <v>107</v>
      </c>
      <c r="G82">
        <v>-0.49324299999999999</v>
      </c>
      <c r="H82">
        <v>232.00831600000001</v>
      </c>
      <c r="I82">
        <v>66.855834999999999</v>
      </c>
      <c r="J82">
        <v>233.54014599999999</v>
      </c>
      <c r="K82">
        <v>64.689964000000003</v>
      </c>
      <c r="L82">
        <v>170.15632600000001</v>
      </c>
      <c r="M82">
        <v>75.057372999999998</v>
      </c>
      <c r="N82">
        <v>32.040675999999998</v>
      </c>
      <c r="O82">
        <v>32.040675999999998</v>
      </c>
      <c r="P82">
        <v>30.014793000000001</v>
      </c>
      <c r="Q82">
        <v>38.222878000000001</v>
      </c>
      <c r="R82">
        <v>2.5939939999999999</v>
      </c>
      <c r="S82">
        <v>0.96312299999999995</v>
      </c>
      <c r="T82">
        <v>0.62870999999999999</v>
      </c>
      <c r="U82">
        <v>4.1795369999999998</v>
      </c>
      <c r="V82">
        <v>199.115082</v>
      </c>
      <c r="W82">
        <v>300.96063199999998</v>
      </c>
      <c r="X82">
        <v>49.904651999999999</v>
      </c>
      <c r="Y82" t="s">
        <v>129</v>
      </c>
      <c r="Z82">
        <v>0.98611599999999999</v>
      </c>
      <c r="AA82">
        <v>5.613855</v>
      </c>
      <c r="AB82">
        <v>0.6</v>
      </c>
      <c r="AC82">
        <v>11.858302</v>
      </c>
      <c r="AD82">
        <v>1.2</v>
      </c>
      <c r="AE82">
        <v>10.083</v>
      </c>
      <c r="AF82">
        <v>0</v>
      </c>
      <c r="AG82">
        <v>79.587295999999995</v>
      </c>
      <c r="AH82">
        <v>20.750601</v>
      </c>
      <c r="AI82">
        <v>85.521018999999995</v>
      </c>
      <c r="AJ82">
        <v>-1.2486820000000001</v>
      </c>
      <c r="AK82">
        <v>330.90136699999999</v>
      </c>
      <c r="AL82">
        <v>40.217948999999997</v>
      </c>
      <c r="AM82">
        <v>296.50314300000002</v>
      </c>
      <c r="AN82">
        <v>31.670103000000001</v>
      </c>
      <c r="AO82">
        <v>357.09210200000001</v>
      </c>
      <c r="AP82">
        <v>51.514823999999997</v>
      </c>
      <c r="AQ82">
        <v>92.887955000000005</v>
      </c>
      <c r="AR82">
        <v>174.294296</v>
      </c>
      <c r="AS82">
        <v>56.815722999999998</v>
      </c>
      <c r="AT82">
        <v>56.639194000000003</v>
      </c>
      <c r="AU82">
        <v>337.19271900000001</v>
      </c>
      <c r="AV82">
        <v>29.532539</v>
      </c>
      <c r="AW82">
        <v>357.075287</v>
      </c>
      <c r="AX82">
        <v>51.214061999999998</v>
      </c>
      <c r="AY82">
        <v>74.679091999999997</v>
      </c>
      <c r="AZ82">
        <v>156.59182699999999</v>
      </c>
      <c r="BA82">
        <v>68.674025999999998</v>
      </c>
      <c r="BB82">
        <v>68.379554999999996</v>
      </c>
      <c r="BC82">
        <v>38.448810999999999</v>
      </c>
      <c r="BD82">
        <v>1.996964</v>
      </c>
      <c r="BE82">
        <v>28.350383999999998</v>
      </c>
      <c r="BF82">
        <v>27.824660999999999</v>
      </c>
      <c r="BG82">
        <v>25.622723000000001</v>
      </c>
      <c r="BH82">
        <v>61</v>
      </c>
      <c r="BI82">
        <v>61</v>
      </c>
      <c r="BJ82">
        <v>0</v>
      </c>
      <c r="BK82">
        <v>140</v>
      </c>
      <c r="BL82">
        <v>2.7799999999999998E-2</v>
      </c>
      <c r="BM82">
        <v>1.6539999999999999E-2</v>
      </c>
      <c r="BN82">
        <v>-1</v>
      </c>
      <c r="BO82">
        <v>3</v>
      </c>
      <c r="BP82">
        <v>1</v>
      </c>
      <c r="BQ82">
        <v>5.9998000000000003E-2</v>
      </c>
      <c r="BR82">
        <v>156.887283</v>
      </c>
      <c r="BS82">
        <v>86.357917999999998</v>
      </c>
      <c r="BT82">
        <v>2.7500000000000002E-4</v>
      </c>
      <c r="BU82">
        <v>28.281293999999999</v>
      </c>
      <c r="BV82">
        <v>2.1396440000000001</v>
      </c>
      <c r="BW82">
        <v>2.2550750000000002</v>
      </c>
      <c r="BX82">
        <v>0.17361099999999999</v>
      </c>
      <c r="BY82">
        <v>0.18675</v>
      </c>
      <c r="BZ82">
        <v>0.99025399999999997</v>
      </c>
      <c r="CA82">
        <v>2020</v>
      </c>
      <c r="CB82">
        <v>1</v>
      </c>
      <c r="CC82">
        <v>21</v>
      </c>
      <c r="CD82">
        <v>19</v>
      </c>
      <c r="CE82">
        <v>55</v>
      </c>
      <c r="CF82">
        <v>6.5399979999999998</v>
      </c>
      <c r="CG82">
        <v>2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0.38550600000000002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</row>
    <row r="83" spans="1:105" x14ac:dyDescent="0.25">
      <c r="A83">
        <v>82</v>
      </c>
      <c r="B83" t="s">
        <v>212</v>
      </c>
      <c r="C83">
        <v>58869.879804999997</v>
      </c>
      <c r="D83">
        <v>301.01132200000001</v>
      </c>
      <c r="E83" s="3" t="s">
        <v>106</v>
      </c>
      <c r="F83" s="3" t="s">
        <v>107</v>
      </c>
      <c r="G83">
        <v>-1.2466919999999999</v>
      </c>
      <c r="H83">
        <v>126.669106</v>
      </c>
      <c r="I83">
        <v>22.365750999999999</v>
      </c>
      <c r="J83">
        <v>128.05808999999999</v>
      </c>
      <c r="K83">
        <v>20.520861</v>
      </c>
      <c r="L83">
        <v>125.280098</v>
      </c>
      <c r="M83">
        <v>1.623372</v>
      </c>
      <c r="N83">
        <v>25.928106</v>
      </c>
      <c r="O83">
        <v>25.928106</v>
      </c>
      <c r="P83">
        <v>23.163934999999999</v>
      </c>
      <c r="Q83">
        <v>36.622962999999999</v>
      </c>
      <c r="R83">
        <v>1.9213070000000001</v>
      </c>
      <c r="S83">
        <v>0.513822</v>
      </c>
      <c r="T83">
        <v>0.73256699999999997</v>
      </c>
      <c r="U83">
        <v>2.6642190000000001</v>
      </c>
      <c r="V83">
        <v>277.47961400000003</v>
      </c>
      <c r="W83">
        <v>301.01513699999998</v>
      </c>
      <c r="X83">
        <v>1.314244</v>
      </c>
      <c r="Y83" t="s">
        <v>213</v>
      </c>
      <c r="Z83">
        <v>1.894739</v>
      </c>
      <c r="AA83">
        <v>10.907944000000001</v>
      </c>
      <c r="AB83">
        <v>-1.6</v>
      </c>
      <c r="AC83">
        <v>27.180420000000002</v>
      </c>
      <c r="AD83">
        <v>1.58</v>
      </c>
      <c r="AE83">
        <v>18.259001000000001</v>
      </c>
      <c r="AF83">
        <v>0</v>
      </c>
      <c r="AG83">
        <v>48.190693000000003</v>
      </c>
      <c r="AH83">
        <v>-25.892956000000002</v>
      </c>
      <c r="AI83">
        <v>337.33651700000001</v>
      </c>
      <c r="AJ83">
        <v>-36.868316999999998</v>
      </c>
      <c r="AK83">
        <v>51.461089999999999</v>
      </c>
      <c r="AL83">
        <v>64.070335</v>
      </c>
      <c r="AM83">
        <v>325.04476899999997</v>
      </c>
      <c r="AN83">
        <v>71.586287999999996</v>
      </c>
      <c r="AO83">
        <v>358.74704000000003</v>
      </c>
      <c r="AP83">
        <v>51.146861999999999</v>
      </c>
      <c r="AQ83">
        <v>85.239929000000004</v>
      </c>
      <c r="AR83">
        <v>89.675224</v>
      </c>
      <c r="AS83">
        <v>63.547718000000003</v>
      </c>
      <c r="AT83">
        <v>63.363906999999998</v>
      </c>
      <c r="AU83">
        <v>0.345669</v>
      </c>
      <c r="AV83">
        <v>54.122475000000001</v>
      </c>
      <c r="AW83">
        <v>358.33242799999999</v>
      </c>
      <c r="AX83">
        <v>51.225422000000002</v>
      </c>
      <c r="AY83">
        <v>58.052097000000003</v>
      </c>
      <c r="AZ83">
        <v>80.293221000000003</v>
      </c>
      <c r="BA83">
        <v>90.728142000000005</v>
      </c>
      <c r="BB83">
        <v>86.676437000000007</v>
      </c>
      <c r="BC83">
        <v>40.966408000000001</v>
      </c>
      <c r="BD83">
        <v>106.88003500000001</v>
      </c>
      <c r="BE83">
        <v>41.487369999999999</v>
      </c>
      <c r="BF83">
        <v>41.688189999999999</v>
      </c>
      <c r="BG83">
        <v>39.445408</v>
      </c>
      <c r="BH83">
        <v>80</v>
      </c>
      <c r="BI83">
        <v>80</v>
      </c>
      <c r="BJ83">
        <v>0</v>
      </c>
      <c r="BK83">
        <v>144</v>
      </c>
      <c r="BL83">
        <v>2.8809999999999999E-2</v>
      </c>
      <c r="BM83">
        <v>1.9529999999999999E-2</v>
      </c>
      <c r="BN83">
        <v>-1</v>
      </c>
      <c r="BO83">
        <v>2</v>
      </c>
      <c r="BP83">
        <v>1</v>
      </c>
      <c r="BQ83">
        <v>0.55999500000000002</v>
      </c>
      <c r="BR83">
        <v>156.887283</v>
      </c>
      <c r="BS83">
        <v>86.757095000000007</v>
      </c>
      <c r="BT83">
        <v>1.856E-3</v>
      </c>
      <c r="BU83">
        <v>45.729987999999999</v>
      </c>
      <c r="BV83">
        <v>0.14948500000000001</v>
      </c>
      <c r="BW83">
        <v>2.252739</v>
      </c>
      <c r="BX83">
        <v>0.10362200000000001</v>
      </c>
      <c r="BY83">
        <v>0.103797</v>
      </c>
      <c r="BZ83">
        <v>0.79418599999999995</v>
      </c>
      <c r="CA83">
        <v>2020</v>
      </c>
      <c r="CB83">
        <v>1</v>
      </c>
      <c r="CC83">
        <v>21</v>
      </c>
      <c r="CD83">
        <v>21</v>
      </c>
      <c r="CE83">
        <v>6</v>
      </c>
      <c r="CF83">
        <v>55.190002</v>
      </c>
      <c r="CG83">
        <v>2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0.52047900000000002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</row>
    <row r="84" spans="1:105" x14ac:dyDescent="0.25">
      <c r="A84">
        <v>83</v>
      </c>
      <c r="B84" t="s">
        <v>214</v>
      </c>
      <c r="C84">
        <v>58870.051652000002</v>
      </c>
      <c r="D84">
        <v>301.18627900000001</v>
      </c>
      <c r="E84" s="3" t="s">
        <v>107</v>
      </c>
      <c r="F84" s="3" t="s">
        <v>106</v>
      </c>
      <c r="G84">
        <v>-2.071234</v>
      </c>
      <c r="H84">
        <v>179.10896299999999</v>
      </c>
      <c r="I84">
        <v>44.077736000000002</v>
      </c>
      <c r="J84">
        <v>179.353241</v>
      </c>
      <c r="K84">
        <v>44.003768999999998</v>
      </c>
      <c r="L84">
        <v>158.469742</v>
      </c>
      <c r="M84">
        <v>39.357956000000001</v>
      </c>
      <c r="N84">
        <v>42.827831000000003</v>
      </c>
      <c r="O84">
        <v>42.827831000000003</v>
      </c>
      <c r="P84">
        <v>41.194640999999997</v>
      </c>
      <c r="Q84">
        <v>37.907283999999997</v>
      </c>
      <c r="R84">
        <v>2.4239709999999999</v>
      </c>
      <c r="S84">
        <v>0.48722900000000002</v>
      </c>
      <c r="T84">
        <v>0.79899600000000004</v>
      </c>
      <c r="U84">
        <v>3.7754240000000001</v>
      </c>
      <c r="V84">
        <v>277.86288500000001</v>
      </c>
      <c r="W84">
        <v>301.18630999999999</v>
      </c>
      <c r="X84">
        <v>67.204421999999994</v>
      </c>
      <c r="Y84" t="s">
        <v>114</v>
      </c>
      <c r="Z84">
        <v>-1</v>
      </c>
      <c r="AA84">
        <v>-1</v>
      </c>
      <c r="AB84">
        <v>-1.9</v>
      </c>
      <c r="AC84">
        <v>2.4078240000000002</v>
      </c>
      <c r="AD84">
        <v>0.12</v>
      </c>
      <c r="AE84">
        <v>20.266999999999999</v>
      </c>
      <c r="AF84">
        <v>0</v>
      </c>
      <c r="AG84">
        <v>110.421097</v>
      </c>
      <c r="AH84">
        <v>-20.573204</v>
      </c>
      <c r="AI84">
        <v>1.1876930000000001</v>
      </c>
      <c r="AJ84">
        <v>-38.775081999999998</v>
      </c>
      <c r="AK84">
        <v>65.998221999999998</v>
      </c>
      <c r="AL84">
        <v>62.275996999999997</v>
      </c>
      <c r="AM84">
        <v>315.06469700000002</v>
      </c>
      <c r="AN84">
        <v>51.887573000000003</v>
      </c>
      <c r="AO84">
        <v>356.105774</v>
      </c>
      <c r="AP84">
        <v>51.114688999999998</v>
      </c>
      <c r="AQ84">
        <v>86.280151000000004</v>
      </c>
      <c r="AR84">
        <v>109.402855</v>
      </c>
      <c r="AS84">
        <v>61.014091000000001</v>
      </c>
      <c r="AT84">
        <v>20.925303</v>
      </c>
      <c r="AU84">
        <v>62.286448999999998</v>
      </c>
      <c r="AV84">
        <v>60.646220999999997</v>
      </c>
      <c r="AW84">
        <v>356.06991599999998</v>
      </c>
      <c r="AX84">
        <v>51.113124999999997</v>
      </c>
      <c r="AY84">
        <v>81.817558000000005</v>
      </c>
      <c r="AZ84">
        <v>107.00683600000001</v>
      </c>
      <c r="BA84">
        <v>63.421913000000004</v>
      </c>
      <c r="BB84">
        <v>21.416665999999999</v>
      </c>
      <c r="BC84">
        <v>5.1393389999999997</v>
      </c>
      <c r="BD84">
        <v>86.391616999999997</v>
      </c>
      <c r="BE84">
        <v>60.058228</v>
      </c>
      <c r="BF84">
        <v>60.455139000000003</v>
      </c>
      <c r="BG84">
        <v>60.265568000000002</v>
      </c>
      <c r="BH84">
        <v>7</v>
      </c>
      <c r="BI84">
        <v>7</v>
      </c>
      <c r="BJ84">
        <v>0</v>
      </c>
      <c r="BK84">
        <v>45</v>
      </c>
      <c r="BL84">
        <v>4.2110000000000002E-2</v>
      </c>
      <c r="BM84">
        <v>3.8289999999999998E-2</v>
      </c>
      <c r="BN84">
        <v>-1</v>
      </c>
      <c r="BO84">
        <v>3</v>
      </c>
      <c r="BP84">
        <v>1</v>
      </c>
      <c r="BQ84">
        <v>0.19999900000000001</v>
      </c>
      <c r="BR84">
        <v>156.88954200000001</v>
      </c>
      <c r="BS84">
        <v>24.097702000000002</v>
      </c>
      <c r="BT84">
        <v>5.0900000000000001E-4</v>
      </c>
      <c r="BU84">
        <v>28.833901999999998</v>
      </c>
      <c r="BV84">
        <v>1.7742329999999999</v>
      </c>
      <c r="BW84">
        <v>0.19054099999999999</v>
      </c>
      <c r="BX84">
        <v>3.650245</v>
      </c>
      <c r="BY84">
        <v>9.9966290000000004</v>
      </c>
      <c r="BZ84">
        <v>0.69718400000000003</v>
      </c>
      <c r="CA84">
        <v>2020</v>
      </c>
      <c r="CB84">
        <v>1</v>
      </c>
      <c r="CC84">
        <v>22</v>
      </c>
      <c r="CD84">
        <v>1</v>
      </c>
      <c r="CE84">
        <v>14</v>
      </c>
      <c r="CF84">
        <v>22.720001</v>
      </c>
      <c r="CG84">
        <v>2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0.41254600000000002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</row>
    <row r="85" spans="1:105" x14ac:dyDescent="0.25">
      <c r="A85">
        <v>84</v>
      </c>
      <c r="B85" t="s">
        <v>215</v>
      </c>
      <c r="C85">
        <v>58876.191010000002</v>
      </c>
      <c r="D85">
        <v>307.43228099999999</v>
      </c>
      <c r="E85" s="2" t="s">
        <v>107</v>
      </c>
      <c r="F85" s="2" t="s">
        <v>122</v>
      </c>
      <c r="G85">
        <v>-0.59930700000000003</v>
      </c>
      <c r="H85">
        <v>199.672394</v>
      </c>
      <c r="I85">
        <v>-14.877954000000001</v>
      </c>
      <c r="J85">
        <v>199.45413199999999</v>
      </c>
      <c r="K85">
        <v>-15.393696</v>
      </c>
      <c r="L85">
        <v>203.759827</v>
      </c>
      <c r="M85">
        <v>-6.6518600000000001</v>
      </c>
      <c r="N85">
        <v>68.409453999999997</v>
      </c>
      <c r="O85">
        <v>68.409453999999997</v>
      </c>
      <c r="P85">
        <v>67.454239000000001</v>
      </c>
      <c r="Q85">
        <v>38.987045000000002</v>
      </c>
      <c r="R85">
        <v>3.1483370000000002</v>
      </c>
      <c r="S85">
        <v>0.798319</v>
      </c>
      <c r="T85">
        <v>0.74643199999999998</v>
      </c>
      <c r="U85">
        <v>5.5885170000000004</v>
      </c>
      <c r="V85">
        <v>56.145397000000003</v>
      </c>
      <c r="W85">
        <v>127.43362399999999</v>
      </c>
      <c r="X85">
        <v>167.361435</v>
      </c>
      <c r="Y85" t="s">
        <v>216</v>
      </c>
      <c r="Z85">
        <v>3.4754580000000002</v>
      </c>
      <c r="AA85">
        <v>4.5908889999999998</v>
      </c>
      <c r="AB85">
        <v>0.5</v>
      </c>
      <c r="AC85">
        <v>4.6440729999999997</v>
      </c>
      <c r="AD85">
        <v>0.2</v>
      </c>
      <c r="AE85">
        <v>23.204999999999998</v>
      </c>
      <c r="AF85">
        <v>0</v>
      </c>
      <c r="AG85">
        <v>119.844345</v>
      </c>
      <c r="AH85">
        <v>33.614040000000003</v>
      </c>
      <c r="AI85">
        <v>272.95465100000001</v>
      </c>
      <c r="AJ85">
        <v>-3.8506119999999999</v>
      </c>
      <c r="AK85">
        <v>282.90090900000001</v>
      </c>
      <c r="AL85">
        <v>55.203949000000001</v>
      </c>
      <c r="AM85">
        <v>47.392539999999997</v>
      </c>
      <c r="AN85">
        <v>39.211436999999997</v>
      </c>
      <c r="AO85">
        <v>-1.8898969999999999</v>
      </c>
      <c r="AP85">
        <v>51.445843000000004</v>
      </c>
      <c r="AQ85">
        <v>105.50290699999999</v>
      </c>
      <c r="AR85">
        <v>164.63372799999999</v>
      </c>
      <c r="AS85">
        <v>98.384704999999997</v>
      </c>
      <c r="AT85">
        <v>80.680015999999995</v>
      </c>
      <c r="AU85">
        <v>290.98989899999998</v>
      </c>
      <c r="AV85">
        <v>56.068542000000001</v>
      </c>
      <c r="AW85">
        <v>-1.909114</v>
      </c>
      <c r="AX85">
        <v>51.556083999999998</v>
      </c>
      <c r="AY85">
        <v>100.063469</v>
      </c>
      <c r="AZ85">
        <v>167.177673</v>
      </c>
      <c r="BA85">
        <v>103.028778</v>
      </c>
      <c r="BB85">
        <v>76.356735</v>
      </c>
      <c r="BC85">
        <v>13.681889999999999</v>
      </c>
      <c r="BD85">
        <v>173.53460699999999</v>
      </c>
      <c r="BE85">
        <v>23.355131</v>
      </c>
      <c r="BF85">
        <v>24.002420000000001</v>
      </c>
      <c r="BG85">
        <v>23.507231000000001</v>
      </c>
      <c r="BH85">
        <v>11</v>
      </c>
      <c r="BI85">
        <v>7</v>
      </c>
      <c r="BJ85">
        <v>36.363636</v>
      </c>
      <c r="BK85">
        <v>0</v>
      </c>
      <c r="BL85">
        <v>0.1</v>
      </c>
      <c r="BM85">
        <v>9.5499999999999995E-3</v>
      </c>
      <c r="BN85">
        <v>-1</v>
      </c>
      <c r="BO85">
        <v>3</v>
      </c>
      <c r="BP85">
        <v>1</v>
      </c>
      <c r="BQ85">
        <v>0.25999699999999998</v>
      </c>
      <c r="BR85">
        <v>267.49429300000003</v>
      </c>
      <c r="BS85">
        <v>85.916106999999997</v>
      </c>
      <c r="BT85">
        <v>0.13861899999999999</v>
      </c>
      <c r="BU85">
        <v>-2.6022699999999999</v>
      </c>
      <c r="BV85">
        <v>20.131657000000001</v>
      </c>
      <c r="BW85">
        <v>0.55711699999999997</v>
      </c>
      <c r="BX85">
        <v>2.2881900000000002</v>
      </c>
      <c r="BY85">
        <v>2.3546309999999999</v>
      </c>
      <c r="BZ85">
        <v>0.85818000000000005</v>
      </c>
      <c r="CA85">
        <v>2020</v>
      </c>
      <c r="CB85">
        <v>1</v>
      </c>
      <c r="CC85">
        <v>28</v>
      </c>
      <c r="CD85">
        <v>4</v>
      </c>
      <c r="CE85">
        <v>35</v>
      </c>
      <c r="CF85">
        <v>3.2799990000000001</v>
      </c>
      <c r="CG85">
        <v>2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0.31762800000000002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</row>
    <row r="86" spans="1:105" x14ac:dyDescent="0.25">
      <c r="A86">
        <v>85</v>
      </c>
      <c r="B86" t="s">
        <v>217</v>
      </c>
      <c r="C86">
        <v>58876.212912000003</v>
      </c>
      <c r="D86">
        <v>307.45455900000002</v>
      </c>
      <c r="E86" s="2" t="s">
        <v>125</v>
      </c>
      <c r="F86" s="2" t="s">
        <v>122</v>
      </c>
      <c r="G86">
        <v>-0.348497</v>
      </c>
      <c r="H86">
        <v>304.95248400000003</v>
      </c>
      <c r="I86">
        <v>52.402316999999996</v>
      </c>
      <c r="J86">
        <v>310.72879</v>
      </c>
      <c r="K86">
        <v>49.334518000000003</v>
      </c>
      <c r="L86">
        <v>340.40185500000001</v>
      </c>
      <c r="M86">
        <v>63.171016999999999</v>
      </c>
      <c r="N86">
        <v>21.471834000000001</v>
      </c>
      <c r="O86">
        <v>21.471834000000001</v>
      </c>
      <c r="P86">
        <v>18.132909999999999</v>
      </c>
      <c r="Q86">
        <v>38.937362999999998</v>
      </c>
      <c r="R86">
        <v>3.1057160000000001</v>
      </c>
      <c r="S86">
        <v>0.94512099999999999</v>
      </c>
      <c r="T86">
        <v>0.69568300000000005</v>
      </c>
      <c r="U86">
        <v>5.4754189999999996</v>
      </c>
      <c r="V86">
        <v>154.41546600000001</v>
      </c>
      <c r="W86">
        <v>307.45519999999999</v>
      </c>
      <c r="X86">
        <v>24.997246000000001</v>
      </c>
      <c r="Y86" t="s">
        <v>114</v>
      </c>
      <c r="Z86">
        <v>-1</v>
      </c>
      <c r="AA86">
        <v>-1</v>
      </c>
      <c r="AB86">
        <v>-0.2</v>
      </c>
      <c r="AC86">
        <v>8.678248</v>
      </c>
      <c r="AD86">
        <v>0.76</v>
      </c>
      <c r="AE86">
        <v>11.458</v>
      </c>
      <c r="AF86">
        <v>0</v>
      </c>
      <c r="AG86">
        <v>52.652729000000001</v>
      </c>
      <c r="AH86">
        <v>13.176784</v>
      </c>
      <c r="AI86">
        <v>50.175967999999997</v>
      </c>
      <c r="AJ86">
        <v>-25.615120000000001</v>
      </c>
      <c r="AK86">
        <v>156.25235000000001</v>
      </c>
      <c r="AL86">
        <v>45.123955000000002</v>
      </c>
      <c r="AM86">
        <v>275.48992900000002</v>
      </c>
      <c r="AN86">
        <v>59.442917000000001</v>
      </c>
      <c r="AO86">
        <v>-2.1025580000000001</v>
      </c>
      <c r="AP86">
        <v>51.916629999999998</v>
      </c>
      <c r="AQ86">
        <v>93.223258999999999</v>
      </c>
      <c r="AR86">
        <v>108.050293</v>
      </c>
      <c r="AS86">
        <v>78.835128999999995</v>
      </c>
      <c r="AT86">
        <v>32.082920000000001</v>
      </c>
      <c r="AU86">
        <v>152.75962799999999</v>
      </c>
      <c r="AV86">
        <v>36.853431999999998</v>
      </c>
      <c r="AW86">
        <v>-2.2411699999999999</v>
      </c>
      <c r="AX86">
        <v>51.829376000000003</v>
      </c>
      <c r="AY86">
        <v>84.491104000000007</v>
      </c>
      <c r="AZ86">
        <v>106.105255</v>
      </c>
      <c r="BA86">
        <v>87.513373999999999</v>
      </c>
      <c r="BB86">
        <v>32.743740000000003</v>
      </c>
      <c r="BC86">
        <v>16.318594000000001</v>
      </c>
      <c r="BD86">
        <v>44.532195999999999</v>
      </c>
      <c r="BE86">
        <v>32.399048000000001</v>
      </c>
      <c r="BF86">
        <v>32.704830000000001</v>
      </c>
      <c r="BG86">
        <v>27.973331000000002</v>
      </c>
      <c r="BH86">
        <v>39</v>
      </c>
      <c r="BI86">
        <v>39</v>
      </c>
      <c r="BJ86">
        <v>0</v>
      </c>
      <c r="BK86">
        <v>22</v>
      </c>
      <c r="BL86">
        <v>2.7539999999999999E-2</v>
      </c>
      <c r="BM86">
        <v>2.4150000000000001E-2</v>
      </c>
      <c r="BN86">
        <v>-1</v>
      </c>
      <c r="BO86">
        <v>3</v>
      </c>
      <c r="BP86">
        <v>1</v>
      </c>
      <c r="BQ86">
        <v>0.280003</v>
      </c>
      <c r="BR86">
        <v>98.432648</v>
      </c>
      <c r="BS86">
        <v>32.778477000000002</v>
      </c>
      <c r="BT86">
        <v>1.0319999999999999E-3</v>
      </c>
      <c r="BU86">
        <v>47.432076000000002</v>
      </c>
      <c r="BV86">
        <v>3.982456</v>
      </c>
      <c r="BW86">
        <v>4.7619680000000004</v>
      </c>
      <c r="BX86">
        <v>0.58500300000000005</v>
      </c>
      <c r="BY86">
        <v>1.0815710000000001</v>
      </c>
      <c r="BZ86">
        <v>0.96352099999999996</v>
      </c>
      <c r="CA86">
        <v>2020</v>
      </c>
      <c r="CB86">
        <v>1</v>
      </c>
      <c r="CC86">
        <v>28</v>
      </c>
      <c r="CD86">
        <v>5</v>
      </c>
      <c r="CE86">
        <v>6</v>
      </c>
      <c r="CF86">
        <v>35.569996000000003</v>
      </c>
      <c r="CG86">
        <v>2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0.32198700000000002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</row>
    <row r="87" spans="1:105" x14ac:dyDescent="0.25">
      <c r="A87">
        <v>86</v>
      </c>
      <c r="B87" t="s">
        <v>218</v>
      </c>
      <c r="C87">
        <v>58876.282212999999</v>
      </c>
      <c r="D87">
        <v>307.52499399999999</v>
      </c>
      <c r="E87" s="2" t="s">
        <v>125</v>
      </c>
      <c r="F87" s="2" t="s">
        <v>122</v>
      </c>
      <c r="G87">
        <v>-4.5405000000000001E-2</v>
      </c>
      <c r="H87">
        <v>231.61245700000001</v>
      </c>
      <c r="I87">
        <v>28.398703000000001</v>
      </c>
      <c r="J87">
        <v>231.33128400000001</v>
      </c>
      <c r="K87">
        <v>28.192043000000002</v>
      </c>
      <c r="L87">
        <v>218.84454299999999</v>
      </c>
      <c r="M87">
        <v>45.003815000000003</v>
      </c>
      <c r="N87">
        <v>59.414439999999999</v>
      </c>
      <c r="O87">
        <v>59.414439999999999</v>
      </c>
      <c r="P87">
        <v>58.334530000000001</v>
      </c>
      <c r="Q87">
        <v>42.703491</v>
      </c>
      <c r="R87">
        <v>-40.617274999999999</v>
      </c>
      <c r="S87">
        <v>0.98403499999999999</v>
      </c>
      <c r="T87">
        <v>1.024227</v>
      </c>
      <c r="U87">
        <v>0</v>
      </c>
      <c r="V87">
        <v>176.94828799999999</v>
      </c>
      <c r="W87">
        <v>307.52493299999998</v>
      </c>
      <c r="X87">
        <v>104.90860000000001</v>
      </c>
      <c r="Y87" t="s">
        <v>219</v>
      </c>
      <c r="Z87">
        <v>2.0958540000000001</v>
      </c>
      <c r="AA87">
        <v>0.57677599999999996</v>
      </c>
      <c r="AB87">
        <v>0.5</v>
      </c>
      <c r="AC87">
        <v>3.8403480000000001</v>
      </c>
      <c r="AD87">
        <v>0.2</v>
      </c>
      <c r="AE87">
        <v>19.377001</v>
      </c>
      <c r="AF87">
        <v>0</v>
      </c>
      <c r="AG87">
        <v>353.12664799999999</v>
      </c>
      <c r="AH87">
        <v>44.032448000000002</v>
      </c>
      <c r="AI87">
        <v>276.916473</v>
      </c>
      <c r="AJ87">
        <v>-7.146585</v>
      </c>
      <c r="AK87">
        <v>178.92363</v>
      </c>
      <c r="AL87">
        <v>45.820740000000001</v>
      </c>
      <c r="AM87">
        <v>278.23730499999999</v>
      </c>
      <c r="AN87">
        <v>58.314647999999998</v>
      </c>
      <c r="AO87">
        <v>-2.3043040000000001</v>
      </c>
      <c r="AP87">
        <v>51.95787</v>
      </c>
      <c r="AQ87">
        <v>113.197906</v>
      </c>
      <c r="AR87">
        <v>132.64721700000001</v>
      </c>
      <c r="AS87">
        <v>44.546967000000002</v>
      </c>
      <c r="AT87">
        <v>36.702553000000002</v>
      </c>
      <c r="AU87">
        <v>173.40870699999999</v>
      </c>
      <c r="AV87">
        <v>45.967205</v>
      </c>
      <c r="AW87">
        <v>-2.3181600000000002</v>
      </c>
      <c r="AX87">
        <v>51.999251999999998</v>
      </c>
      <c r="AY87">
        <v>102.334564</v>
      </c>
      <c r="AZ87">
        <v>124.45803100000001</v>
      </c>
      <c r="BA87">
        <v>48.387314000000003</v>
      </c>
      <c r="BB87">
        <v>39.567455000000002</v>
      </c>
      <c r="BC87">
        <v>11.882889</v>
      </c>
      <c r="BD87">
        <v>167.983383</v>
      </c>
      <c r="BE87">
        <v>66.014908000000005</v>
      </c>
      <c r="BF87">
        <v>66.220389999999995</v>
      </c>
      <c r="BG87">
        <v>66.043593999999999</v>
      </c>
      <c r="BH87">
        <v>11</v>
      </c>
      <c r="BI87">
        <v>10</v>
      </c>
      <c r="BJ87">
        <v>9.0909089999999999</v>
      </c>
      <c r="BK87">
        <v>27</v>
      </c>
      <c r="BL87">
        <v>2.2589999999999999E-2</v>
      </c>
      <c r="BM87">
        <v>1.5900000000000001E-2</v>
      </c>
      <c r="BN87">
        <v>-1</v>
      </c>
      <c r="BO87">
        <v>3</v>
      </c>
      <c r="BP87">
        <v>1</v>
      </c>
      <c r="BQ87">
        <v>3.0003999999999999E-2</v>
      </c>
      <c r="BR87">
        <v>98.432700999999994</v>
      </c>
      <c r="BS87">
        <v>58.428046999999999</v>
      </c>
      <c r="BT87">
        <v>7.3999999999999996E-5</v>
      </c>
      <c r="BU87">
        <v>89.288193000000007</v>
      </c>
      <c r="BV87">
        <v>5.660253</v>
      </c>
      <c r="BW87">
        <v>0.32249499999999998</v>
      </c>
      <c r="BX87">
        <v>0.404974</v>
      </c>
      <c r="BY87">
        <v>0.63576600000000005</v>
      </c>
      <c r="BZ87">
        <v>0.84290100000000001</v>
      </c>
      <c r="CA87">
        <v>2020</v>
      </c>
      <c r="CB87">
        <v>1</v>
      </c>
      <c r="CC87">
        <v>28</v>
      </c>
      <c r="CD87">
        <v>6</v>
      </c>
      <c r="CE87">
        <v>46</v>
      </c>
      <c r="CF87">
        <v>23.229996</v>
      </c>
      <c r="CG87">
        <v>2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-2.462E-2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</row>
    <row r="88" spans="1:105" x14ac:dyDescent="0.25">
      <c r="A88">
        <v>87</v>
      </c>
      <c r="B88" t="s">
        <v>220</v>
      </c>
      <c r="C88">
        <v>58876.287920000002</v>
      </c>
      <c r="D88">
        <v>307.53079200000002</v>
      </c>
      <c r="E88" s="2" t="s">
        <v>113</v>
      </c>
      <c r="F88" s="2" t="s">
        <v>106</v>
      </c>
      <c r="G88">
        <v>-3.0115059999999998</v>
      </c>
      <c r="H88">
        <v>223.87666300000001</v>
      </c>
      <c r="I88">
        <v>7.344538</v>
      </c>
      <c r="J88">
        <v>223.59742700000001</v>
      </c>
      <c r="K88">
        <v>6.9961589999999996</v>
      </c>
      <c r="L88">
        <v>218.877441</v>
      </c>
      <c r="M88">
        <v>22.580739999999999</v>
      </c>
      <c r="N88">
        <v>65.835266000000004</v>
      </c>
      <c r="O88">
        <v>65.835266000000004</v>
      </c>
      <c r="P88">
        <v>64.899590000000003</v>
      </c>
      <c r="Q88">
        <v>38.769066000000002</v>
      </c>
      <c r="R88">
        <v>2.9699070000000001</v>
      </c>
      <c r="S88">
        <v>0.982626</v>
      </c>
      <c r="T88">
        <v>0.66913900000000004</v>
      </c>
      <c r="U88">
        <v>5.1202249999999996</v>
      </c>
      <c r="V88">
        <v>174.06433100000001</v>
      </c>
      <c r="W88">
        <v>307.53045700000001</v>
      </c>
      <c r="X88">
        <v>139.95907600000001</v>
      </c>
      <c r="Y88" t="s">
        <v>114</v>
      </c>
      <c r="Z88">
        <v>-1</v>
      </c>
      <c r="AA88">
        <v>-1</v>
      </c>
      <c r="AB88">
        <v>-1.7</v>
      </c>
      <c r="AC88">
        <v>8.426577</v>
      </c>
      <c r="AD88">
        <v>0.42</v>
      </c>
      <c r="AE88">
        <v>20.149000000000001</v>
      </c>
      <c r="AF88">
        <v>0</v>
      </c>
      <c r="AG88">
        <v>133.59831199999999</v>
      </c>
      <c r="AH88">
        <v>2.1585230000000002</v>
      </c>
      <c r="AI88">
        <v>262.760986</v>
      </c>
      <c r="AJ88">
        <v>3.434431</v>
      </c>
      <c r="AK88">
        <v>36.439117000000003</v>
      </c>
      <c r="AL88">
        <v>73.172966000000002</v>
      </c>
      <c r="AM88">
        <v>3.7490239999999999</v>
      </c>
      <c r="AN88">
        <v>34.36327</v>
      </c>
      <c r="AO88">
        <v>-2.803169</v>
      </c>
      <c r="AP88">
        <v>52.190331</v>
      </c>
      <c r="AQ88">
        <v>103.045303</v>
      </c>
      <c r="AR88">
        <v>179.68756099999999</v>
      </c>
      <c r="AS88">
        <v>99.342201000000003</v>
      </c>
      <c r="AT88">
        <v>38.472487999999998</v>
      </c>
      <c r="AU88">
        <v>39.005192000000001</v>
      </c>
      <c r="AV88">
        <v>64.794860999999997</v>
      </c>
      <c r="AW88">
        <v>-2.775522</v>
      </c>
      <c r="AX88">
        <v>52.362267000000003</v>
      </c>
      <c r="AY88">
        <v>83.509856999999997</v>
      </c>
      <c r="AZ88">
        <v>186.18611100000001</v>
      </c>
      <c r="BA88">
        <v>107.768784</v>
      </c>
      <c r="BB88">
        <v>36.900269000000002</v>
      </c>
      <c r="BC88">
        <v>27.650811999999998</v>
      </c>
      <c r="BD88">
        <v>185.25086999999999</v>
      </c>
      <c r="BE88">
        <v>44.968722999999997</v>
      </c>
      <c r="BF88">
        <v>46.284408999999997</v>
      </c>
      <c r="BG88">
        <v>45.919868000000001</v>
      </c>
      <c r="BH88">
        <v>22</v>
      </c>
      <c r="BI88">
        <v>22</v>
      </c>
      <c r="BJ88">
        <v>0</v>
      </c>
      <c r="BK88">
        <v>0</v>
      </c>
      <c r="BL88">
        <v>0.1</v>
      </c>
      <c r="BM88">
        <v>6.7200000000000003E-3</v>
      </c>
      <c r="BN88">
        <v>-1</v>
      </c>
      <c r="BO88">
        <v>3</v>
      </c>
      <c r="BP88">
        <v>1</v>
      </c>
      <c r="BQ88">
        <v>0.54999699999999996</v>
      </c>
      <c r="BR88">
        <v>135.36303699999999</v>
      </c>
      <c r="BS88">
        <v>39.087131999999997</v>
      </c>
      <c r="BT88">
        <v>2.2850000000000001E-3</v>
      </c>
      <c r="BU88">
        <v>90.053702999999999</v>
      </c>
      <c r="BV88">
        <v>0.23391999999999999</v>
      </c>
      <c r="BW88">
        <v>0.44511299999999998</v>
      </c>
      <c r="BX88">
        <v>2.057471</v>
      </c>
      <c r="BY88">
        <v>3.4266969999999999</v>
      </c>
      <c r="BZ88">
        <v>0.89346099999999995</v>
      </c>
      <c r="CA88">
        <v>2020</v>
      </c>
      <c r="CB88">
        <v>1</v>
      </c>
      <c r="CC88">
        <v>28</v>
      </c>
      <c r="CD88">
        <v>6</v>
      </c>
      <c r="CE88">
        <v>54</v>
      </c>
      <c r="CF88">
        <v>36.330005999999997</v>
      </c>
      <c r="CG88">
        <v>2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0.33671099999999998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</row>
    <row r="89" spans="1:105" x14ac:dyDescent="0.25">
      <c r="A89">
        <v>88</v>
      </c>
      <c r="B89" t="s">
        <v>220</v>
      </c>
      <c r="C89">
        <v>58876.287922000003</v>
      </c>
      <c r="D89">
        <v>307.53079200000002</v>
      </c>
      <c r="E89" s="3" t="s">
        <v>122</v>
      </c>
      <c r="F89" s="3" t="s">
        <v>125</v>
      </c>
      <c r="G89">
        <v>-3.4451070000000001</v>
      </c>
      <c r="H89">
        <v>225.014893</v>
      </c>
      <c r="I89">
        <v>6.6779039999999998</v>
      </c>
      <c r="J89">
        <v>224.76617400000001</v>
      </c>
      <c r="K89">
        <v>6.3575039999999996</v>
      </c>
      <c r="L89">
        <v>220.28547699999999</v>
      </c>
      <c r="M89">
        <v>22.331527999999999</v>
      </c>
      <c r="N89">
        <v>69.091019000000003</v>
      </c>
      <c r="O89">
        <v>69.091019000000003</v>
      </c>
      <c r="P89">
        <v>68.203079000000002</v>
      </c>
      <c r="Q89">
        <v>41.897438000000001</v>
      </c>
      <c r="R89">
        <v>19.139468999999998</v>
      </c>
      <c r="S89">
        <v>0.97872099999999995</v>
      </c>
      <c r="T89">
        <v>0.94886400000000004</v>
      </c>
      <c r="U89">
        <v>83.766341999999995</v>
      </c>
      <c r="V89">
        <v>170.90978999999999</v>
      </c>
      <c r="W89">
        <v>307.53042599999998</v>
      </c>
      <c r="X89">
        <v>141.65699799999999</v>
      </c>
      <c r="Y89" t="s">
        <v>114</v>
      </c>
      <c r="Z89">
        <v>-1</v>
      </c>
      <c r="AA89">
        <v>-1</v>
      </c>
      <c r="AB89">
        <v>-2.4</v>
      </c>
      <c r="AC89">
        <v>9.8175399999999993</v>
      </c>
      <c r="AD89">
        <v>0.57999999999999996</v>
      </c>
      <c r="AE89">
        <v>15.984999999999999</v>
      </c>
      <c r="AF89">
        <v>0</v>
      </c>
      <c r="AG89">
        <v>336.870026</v>
      </c>
      <c r="AH89">
        <v>72.540809999999993</v>
      </c>
      <c r="AI89">
        <v>264.06478900000002</v>
      </c>
      <c r="AJ89">
        <v>2.3754970000000002</v>
      </c>
      <c r="AK89">
        <v>186.40415999999999</v>
      </c>
      <c r="AL89">
        <v>15.304228999999999</v>
      </c>
      <c r="AM89">
        <v>238.296188</v>
      </c>
      <c r="AN89">
        <v>39.584400000000002</v>
      </c>
      <c r="AO89">
        <v>-2.878676</v>
      </c>
      <c r="AP89">
        <v>52.116985</v>
      </c>
      <c r="AQ89">
        <v>113.77409400000001</v>
      </c>
      <c r="AR89">
        <v>176.35136399999999</v>
      </c>
      <c r="AS89">
        <v>38.805892999999998</v>
      </c>
      <c r="AT89">
        <v>16.701450000000001</v>
      </c>
      <c r="AU89">
        <v>176.273132</v>
      </c>
      <c r="AV89">
        <v>16.523137999999999</v>
      </c>
      <c r="AW89">
        <v>-2.8507479999999998</v>
      </c>
      <c r="AX89">
        <v>52.369030000000002</v>
      </c>
      <c r="AY89">
        <v>85.746437</v>
      </c>
      <c r="AZ89">
        <v>147.28050200000001</v>
      </c>
      <c r="BA89">
        <v>48.623435999999998</v>
      </c>
      <c r="BB89">
        <v>20.127478</v>
      </c>
      <c r="BC89">
        <v>40.072792</v>
      </c>
      <c r="BD89">
        <v>183.51857000000001</v>
      </c>
      <c r="BE89">
        <v>44.434437000000003</v>
      </c>
      <c r="BF89">
        <v>43.72081</v>
      </c>
      <c r="BG89">
        <v>43.385193000000001</v>
      </c>
      <c r="BH89">
        <v>30</v>
      </c>
      <c r="BI89">
        <v>30</v>
      </c>
      <c r="BJ89">
        <v>0</v>
      </c>
      <c r="BK89">
        <v>9</v>
      </c>
      <c r="BL89">
        <v>2.7300000000000001E-2</v>
      </c>
      <c r="BM89">
        <v>1.163E-2</v>
      </c>
      <c r="BN89">
        <v>-1</v>
      </c>
      <c r="BO89">
        <v>3</v>
      </c>
      <c r="BP89">
        <v>1</v>
      </c>
      <c r="BQ89">
        <v>3.9992E-2</v>
      </c>
      <c r="BR89">
        <v>98.427750000000003</v>
      </c>
      <c r="BS89">
        <v>27.295521000000001</v>
      </c>
      <c r="BT89">
        <v>1.2300000000000001E-4</v>
      </c>
      <c r="BU89">
        <v>86.071083000000002</v>
      </c>
      <c r="BV89">
        <v>2.5434160000000001</v>
      </c>
      <c r="BW89">
        <v>0.40462300000000001</v>
      </c>
      <c r="BX89">
        <v>0.31777499999999997</v>
      </c>
      <c r="BY89">
        <v>0.92346899999999998</v>
      </c>
      <c r="BZ89">
        <v>0.96824500000000002</v>
      </c>
      <c r="CA89">
        <v>2020</v>
      </c>
      <c r="CB89">
        <v>1</v>
      </c>
      <c r="CC89">
        <v>28</v>
      </c>
      <c r="CD89">
        <v>6</v>
      </c>
      <c r="CE89">
        <v>54</v>
      </c>
      <c r="CF89">
        <v>36.440002</v>
      </c>
      <c r="CG89">
        <v>2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5.2248000000000003E-2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</row>
    <row r="90" spans="1:105" x14ac:dyDescent="0.25">
      <c r="A90">
        <v>89</v>
      </c>
      <c r="B90" t="s">
        <v>221</v>
      </c>
      <c r="C90">
        <v>58876.797291000003</v>
      </c>
      <c r="D90">
        <v>308.04858400000001</v>
      </c>
      <c r="E90" s="3" t="s">
        <v>106</v>
      </c>
      <c r="F90" s="3" t="s">
        <v>191</v>
      </c>
      <c r="G90">
        <v>1.585869</v>
      </c>
      <c r="H90">
        <v>99.558684999999997</v>
      </c>
      <c r="I90">
        <v>7.8341580000000004</v>
      </c>
      <c r="J90">
        <v>103.07678199999999</v>
      </c>
      <c r="K90">
        <v>1.2166170000000001</v>
      </c>
      <c r="L90">
        <v>104.079155</v>
      </c>
      <c r="M90">
        <v>-21.583265000000001</v>
      </c>
      <c r="N90">
        <v>17.933319000000001</v>
      </c>
      <c r="O90">
        <v>17.933319000000001</v>
      </c>
      <c r="P90">
        <v>13.755585999999999</v>
      </c>
      <c r="Q90">
        <v>37.601897999999998</v>
      </c>
      <c r="R90">
        <v>2.287979</v>
      </c>
      <c r="S90">
        <v>0.86385800000000001</v>
      </c>
      <c r="T90">
        <v>0.62243599999999999</v>
      </c>
      <c r="U90">
        <v>3.4622060000000001</v>
      </c>
      <c r="V90">
        <v>47.165500999999999</v>
      </c>
      <c r="W90">
        <v>128.04641699999999</v>
      </c>
      <c r="X90">
        <v>8.1249579999999995</v>
      </c>
      <c r="Y90" t="s">
        <v>114</v>
      </c>
      <c r="Z90">
        <v>-1</v>
      </c>
      <c r="AA90">
        <v>-1</v>
      </c>
      <c r="AB90">
        <v>1.7</v>
      </c>
      <c r="AC90">
        <v>3.1198229999999998</v>
      </c>
      <c r="AD90">
        <v>0.32</v>
      </c>
      <c r="AE90">
        <v>9.7929999999999993</v>
      </c>
      <c r="AF90">
        <v>0</v>
      </c>
      <c r="AG90">
        <v>11.863186000000001</v>
      </c>
      <c r="AH90">
        <v>-16.290825000000002</v>
      </c>
      <c r="AI90">
        <v>319.969696</v>
      </c>
      <c r="AJ90">
        <v>-31.951301999999998</v>
      </c>
      <c r="AK90">
        <v>351.56716899999998</v>
      </c>
      <c r="AL90">
        <v>72.693359000000001</v>
      </c>
      <c r="AM90">
        <v>332.17010499999998</v>
      </c>
      <c r="AN90">
        <v>56.091960999999998</v>
      </c>
      <c r="AO90">
        <v>358.58792099999999</v>
      </c>
      <c r="AP90">
        <v>51.401477999999997</v>
      </c>
      <c r="AQ90">
        <v>87.870322999999999</v>
      </c>
      <c r="AR90">
        <v>105.43064099999999</v>
      </c>
      <c r="AS90">
        <v>87.758788999999993</v>
      </c>
      <c r="AT90">
        <v>22.950405</v>
      </c>
      <c r="AU90">
        <v>342.294983</v>
      </c>
      <c r="AV90">
        <v>71.427398999999994</v>
      </c>
      <c r="AW90">
        <v>358.52951000000002</v>
      </c>
      <c r="AX90">
        <v>51.424210000000002</v>
      </c>
      <c r="AY90">
        <v>84.815971000000005</v>
      </c>
      <c r="AZ90">
        <v>105.362381</v>
      </c>
      <c r="BA90">
        <v>90.878615999999994</v>
      </c>
      <c r="BB90">
        <v>22.966124000000001</v>
      </c>
      <c r="BC90">
        <v>5.7386619999999997</v>
      </c>
      <c r="BD90">
        <v>121.752182</v>
      </c>
      <c r="BE90">
        <v>32.016911</v>
      </c>
      <c r="BF90">
        <v>32.469920999999999</v>
      </c>
      <c r="BG90">
        <v>25.004936000000001</v>
      </c>
      <c r="BH90">
        <v>17</v>
      </c>
      <c r="BI90">
        <v>9</v>
      </c>
      <c r="BJ90">
        <v>47.058822999999997</v>
      </c>
      <c r="BK90">
        <v>119</v>
      </c>
      <c r="BL90">
        <v>2.9020000000000001E-2</v>
      </c>
      <c r="BM90">
        <v>1.431E-2</v>
      </c>
      <c r="BN90">
        <v>-1</v>
      </c>
      <c r="BO90">
        <v>3</v>
      </c>
      <c r="BP90">
        <v>1</v>
      </c>
      <c r="BQ90">
        <v>1.5000020000000001</v>
      </c>
      <c r="BR90">
        <v>53.911568000000003</v>
      </c>
      <c r="BS90">
        <v>22.968980999999999</v>
      </c>
      <c r="BT90">
        <v>5.2820000000000002E-3</v>
      </c>
      <c r="BU90">
        <v>25.143899999999999</v>
      </c>
      <c r="BV90">
        <v>2.4146589999999999</v>
      </c>
      <c r="BW90">
        <v>7.4885140000000003</v>
      </c>
      <c r="BX90">
        <v>2.4253079999999998</v>
      </c>
      <c r="BY90">
        <v>6.2157609999999996</v>
      </c>
      <c r="BZ90">
        <v>0.73388900000000001</v>
      </c>
      <c r="CA90">
        <v>2020</v>
      </c>
      <c r="CB90">
        <v>1</v>
      </c>
      <c r="CC90">
        <v>28</v>
      </c>
      <c r="CD90">
        <v>19</v>
      </c>
      <c r="CE90">
        <v>8</v>
      </c>
      <c r="CF90">
        <v>5.970002</v>
      </c>
      <c r="CG90">
        <v>2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0.43706699999999998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</row>
    <row r="91" spans="1:105" x14ac:dyDescent="0.25">
      <c r="A91">
        <v>90</v>
      </c>
      <c r="B91" t="s">
        <v>222</v>
      </c>
      <c r="C91">
        <v>58876.910848</v>
      </c>
      <c r="D91">
        <v>308.16400099999998</v>
      </c>
      <c r="E91" s="3" t="s">
        <v>111</v>
      </c>
      <c r="F91" s="3" t="s">
        <v>110</v>
      </c>
      <c r="G91">
        <v>-1.264416</v>
      </c>
      <c r="H91">
        <v>36.998733999999999</v>
      </c>
      <c r="I91">
        <v>48.228836000000001</v>
      </c>
      <c r="J91">
        <v>24.006060000000002</v>
      </c>
      <c r="K91">
        <v>41.553573999999998</v>
      </c>
      <c r="L91">
        <v>38.46875</v>
      </c>
      <c r="M91">
        <v>29.176832000000001</v>
      </c>
      <c r="N91">
        <v>13.508046999999999</v>
      </c>
      <c r="O91">
        <v>13.508046999999999</v>
      </c>
      <c r="P91">
        <v>7.8753869999999999</v>
      </c>
      <c r="Q91">
        <v>37.323447999999999</v>
      </c>
      <c r="R91">
        <v>2.1712850000000001</v>
      </c>
      <c r="S91">
        <v>0.98478699999999997</v>
      </c>
      <c r="T91">
        <v>0.54644999999999999</v>
      </c>
      <c r="U91">
        <v>3.2007379999999999</v>
      </c>
      <c r="V91">
        <v>179.26767000000001</v>
      </c>
      <c r="W91">
        <v>308.16702299999997</v>
      </c>
      <c r="X91">
        <v>5.9037350000000002</v>
      </c>
      <c r="Y91" t="s">
        <v>114</v>
      </c>
      <c r="Z91">
        <v>-1</v>
      </c>
      <c r="AA91">
        <v>-1</v>
      </c>
      <c r="AB91">
        <v>0</v>
      </c>
      <c r="AC91">
        <v>4.547383</v>
      </c>
      <c r="AD91">
        <v>1.1000000000000001</v>
      </c>
      <c r="AE91">
        <v>4.1440000000000001</v>
      </c>
      <c r="AF91">
        <v>0</v>
      </c>
      <c r="AG91">
        <v>138.92218</v>
      </c>
      <c r="AH91">
        <v>10.455667</v>
      </c>
      <c r="AI91">
        <v>157.752655</v>
      </c>
      <c r="AJ91">
        <v>35.569110999999999</v>
      </c>
      <c r="AK91">
        <v>246.38763399999999</v>
      </c>
      <c r="AL91">
        <v>58.414245999999999</v>
      </c>
      <c r="AM91">
        <v>15.384410000000001</v>
      </c>
      <c r="AN91">
        <v>21.681163999999999</v>
      </c>
      <c r="AO91">
        <v>359.63034099999999</v>
      </c>
      <c r="AP91">
        <v>52.381686999999999</v>
      </c>
      <c r="AQ91">
        <v>69.460701</v>
      </c>
      <c r="AR91">
        <v>181.195526</v>
      </c>
      <c r="AS91">
        <v>70.651618999999997</v>
      </c>
      <c r="AT91">
        <v>31.311031</v>
      </c>
      <c r="AU91">
        <v>243.70138499999999</v>
      </c>
      <c r="AV91">
        <v>54.117545999999997</v>
      </c>
      <c r="AW91">
        <v>359.75268599999998</v>
      </c>
      <c r="AX91">
        <v>52.357861</v>
      </c>
      <c r="AY91">
        <v>57.502212999999998</v>
      </c>
      <c r="AZ91">
        <v>176.82925399999999</v>
      </c>
      <c r="BA91">
        <v>75.198997000000006</v>
      </c>
      <c r="BB91">
        <v>32.175587</v>
      </c>
      <c r="BC91">
        <v>14.858852000000001</v>
      </c>
      <c r="BD91">
        <v>287.31204200000002</v>
      </c>
      <c r="BE91">
        <v>53.867759999999997</v>
      </c>
      <c r="BF91">
        <v>53.803268000000003</v>
      </c>
      <c r="BG91">
        <v>42.490025000000003</v>
      </c>
      <c r="BH91">
        <v>56</v>
      </c>
      <c r="BI91">
        <v>49</v>
      </c>
      <c r="BJ91">
        <v>12.5</v>
      </c>
      <c r="BK91">
        <v>23</v>
      </c>
      <c r="BL91">
        <v>1.464E-2</v>
      </c>
      <c r="BM91">
        <v>8.3199999999999993E-3</v>
      </c>
      <c r="BN91">
        <v>-1</v>
      </c>
      <c r="BO91">
        <v>3</v>
      </c>
      <c r="BP91">
        <v>1</v>
      </c>
      <c r="BQ91">
        <v>1.3299970000000001</v>
      </c>
      <c r="BR91">
        <v>105.118881</v>
      </c>
      <c r="BS91">
        <v>33.421329</v>
      </c>
      <c r="BT91">
        <v>4.431E-3</v>
      </c>
      <c r="BU91">
        <v>52.173271</v>
      </c>
      <c r="BV91">
        <v>5.5135769999999997</v>
      </c>
      <c r="BW91">
        <v>11.34557</v>
      </c>
      <c r="BX91">
        <v>0.47292699999999999</v>
      </c>
      <c r="BY91">
        <v>0.88809899999999997</v>
      </c>
      <c r="BZ91">
        <v>0.94506900000000005</v>
      </c>
      <c r="CA91">
        <v>2020</v>
      </c>
      <c r="CB91">
        <v>1</v>
      </c>
      <c r="CC91">
        <v>28</v>
      </c>
      <c r="CD91">
        <v>21</v>
      </c>
      <c r="CE91">
        <v>51</v>
      </c>
      <c r="CF91">
        <v>37.240001999999997</v>
      </c>
      <c r="CG91">
        <v>2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0.46055699999999999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</row>
    <row r="92" spans="1:105" x14ac:dyDescent="0.25">
      <c r="A92">
        <v>91</v>
      </c>
      <c r="B92" t="s">
        <v>223</v>
      </c>
      <c r="C92">
        <v>58877.059284000003</v>
      </c>
      <c r="D92">
        <v>308.31488000000002</v>
      </c>
      <c r="E92" s="3" t="s">
        <v>106</v>
      </c>
      <c r="F92" s="3" t="s">
        <v>191</v>
      </c>
      <c r="G92">
        <v>-0.40018500000000001</v>
      </c>
      <c r="H92">
        <v>196.12037699999999</v>
      </c>
      <c r="I92">
        <v>13.198060999999999</v>
      </c>
      <c r="J92">
        <v>196.205994</v>
      </c>
      <c r="K92">
        <v>12.873179</v>
      </c>
      <c r="L92">
        <v>189.75958299999999</v>
      </c>
      <c r="M92">
        <v>18.217669999999998</v>
      </c>
      <c r="N92">
        <v>64.536865000000006</v>
      </c>
      <c r="O92">
        <v>64.536865000000006</v>
      </c>
      <c r="P92">
        <v>63.346195000000002</v>
      </c>
      <c r="Q92">
        <v>41.455199999999998</v>
      </c>
      <c r="R92">
        <v>10.682283</v>
      </c>
      <c r="S92">
        <v>0.50563599999999997</v>
      </c>
      <c r="T92">
        <v>0.95266600000000001</v>
      </c>
      <c r="U92">
        <v>34.927773000000002</v>
      </c>
      <c r="V92">
        <v>269.84698500000002</v>
      </c>
      <c r="W92">
        <v>308.31451399999997</v>
      </c>
      <c r="X92">
        <v>138.77763400000001</v>
      </c>
      <c r="Y92" t="s">
        <v>162</v>
      </c>
      <c r="Z92">
        <v>2.6573560000000001</v>
      </c>
      <c r="AA92">
        <v>0.86667700000000003</v>
      </c>
      <c r="AB92">
        <v>0</v>
      </c>
      <c r="AC92">
        <v>2.4169779999999998</v>
      </c>
      <c r="AD92">
        <v>0.08</v>
      </c>
      <c r="AE92">
        <v>31.231000999999999</v>
      </c>
      <c r="AF92">
        <v>0</v>
      </c>
      <c r="AG92">
        <v>110.934196</v>
      </c>
      <c r="AH92">
        <v>-19.689323000000002</v>
      </c>
      <c r="AI92">
        <v>325.909424</v>
      </c>
      <c r="AJ92">
        <v>-33.928317999999997</v>
      </c>
      <c r="AK92">
        <v>105.783485</v>
      </c>
      <c r="AL92">
        <v>70.250725000000003</v>
      </c>
      <c r="AM92">
        <v>330.41241500000001</v>
      </c>
      <c r="AN92">
        <v>62.839137999999998</v>
      </c>
      <c r="AO92">
        <v>358.59252900000001</v>
      </c>
      <c r="AP92">
        <v>51.367030999999997</v>
      </c>
      <c r="AQ92">
        <v>107.619308</v>
      </c>
      <c r="AR92">
        <v>120.71993999999999</v>
      </c>
      <c r="AS92">
        <v>77.704482999999996</v>
      </c>
      <c r="AT92">
        <v>19.429758</v>
      </c>
      <c r="AU92">
        <v>98.754852</v>
      </c>
      <c r="AV92">
        <v>69.912086000000002</v>
      </c>
      <c r="AW92">
        <v>358.53933699999999</v>
      </c>
      <c r="AX92">
        <v>51.383659000000002</v>
      </c>
      <c r="AY92">
        <v>104.63571899999999</v>
      </c>
      <c r="AZ92">
        <v>119.753418</v>
      </c>
      <c r="BA92">
        <v>80.121452000000005</v>
      </c>
      <c r="BB92">
        <v>19.592956999999998</v>
      </c>
      <c r="BC92">
        <v>5.1629490000000002</v>
      </c>
      <c r="BD92">
        <v>116.28620100000001</v>
      </c>
      <c r="BE92">
        <v>35.353642000000001</v>
      </c>
      <c r="BF92">
        <v>35.761620000000001</v>
      </c>
      <c r="BG92">
        <v>35.448338</v>
      </c>
      <c r="BH92">
        <v>5</v>
      </c>
      <c r="BI92">
        <v>5</v>
      </c>
      <c r="BJ92">
        <v>0</v>
      </c>
      <c r="BK92">
        <v>69</v>
      </c>
      <c r="BL92">
        <v>2.7029999999999998E-2</v>
      </c>
      <c r="BM92">
        <v>1.2840000000000001E-2</v>
      </c>
      <c r="BN92">
        <v>-1</v>
      </c>
      <c r="BO92">
        <v>3</v>
      </c>
      <c r="BP92">
        <v>1</v>
      </c>
      <c r="BQ92">
        <v>2.3000080000000001</v>
      </c>
      <c r="BR92">
        <v>53.911568000000003</v>
      </c>
      <c r="BS92">
        <v>19.918900000000001</v>
      </c>
      <c r="BT92">
        <v>0.21707499999999999</v>
      </c>
      <c r="BU92">
        <v>52.164935999999997</v>
      </c>
      <c r="BV92">
        <v>1.3649530000000001</v>
      </c>
      <c r="BW92">
        <v>0.33541799999999999</v>
      </c>
      <c r="BX92">
        <v>3.1887690000000002</v>
      </c>
      <c r="BY92">
        <v>9.5091819999999991</v>
      </c>
      <c r="BZ92">
        <v>0.71174700000000002</v>
      </c>
      <c r="CA92">
        <v>2020</v>
      </c>
      <c r="CB92">
        <v>1</v>
      </c>
      <c r="CC92">
        <v>29</v>
      </c>
      <c r="CD92">
        <v>1</v>
      </c>
      <c r="CE92">
        <v>25</v>
      </c>
      <c r="CF92">
        <v>22.159996</v>
      </c>
      <c r="CG92">
        <v>2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9.3613000000000002E-2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</row>
    <row r="93" spans="1:105" x14ac:dyDescent="0.25">
      <c r="A93">
        <v>92</v>
      </c>
      <c r="B93" t="s">
        <v>224</v>
      </c>
      <c r="C93">
        <v>58877.084194000003</v>
      </c>
      <c r="D93">
        <v>308.34017899999998</v>
      </c>
      <c r="E93" s="3" t="s">
        <v>154</v>
      </c>
      <c r="F93" s="3" t="s">
        <v>191</v>
      </c>
      <c r="G93">
        <v>-0.11997099999999999</v>
      </c>
      <c r="H93">
        <v>200.20431500000001</v>
      </c>
      <c r="I93">
        <v>14.937531999999999</v>
      </c>
      <c r="J93">
        <v>200.23924299999999</v>
      </c>
      <c r="K93">
        <v>14.668041000000001</v>
      </c>
      <c r="L93">
        <v>192.80740399999999</v>
      </c>
      <c r="M93">
        <v>21.434452</v>
      </c>
      <c r="N93">
        <v>65.617928000000006</v>
      </c>
      <c r="O93">
        <v>65.617928000000006</v>
      </c>
      <c r="P93">
        <v>64.462592999999998</v>
      </c>
      <c r="Q93">
        <v>42.24004</v>
      </c>
      <c r="R93">
        <v>51.119534000000002</v>
      </c>
      <c r="S93">
        <v>0.61924100000000004</v>
      </c>
      <c r="T93">
        <v>0.98788600000000004</v>
      </c>
      <c r="U93">
        <v>365.641144</v>
      </c>
      <c r="V93">
        <v>255.34489400000001</v>
      </c>
      <c r="W93">
        <v>308.33987400000001</v>
      </c>
      <c r="X93">
        <v>135.40978999999999</v>
      </c>
      <c r="Y93" t="s">
        <v>162</v>
      </c>
      <c r="Z93">
        <v>1.723687</v>
      </c>
      <c r="AA93">
        <v>0.88042500000000001</v>
      </c>
      <c r="AB93">
        <v>1</v>
      </c>
      <c r="AC93">
        <v>2.5665140000000002</v>
      </c>
      <c r="AD93">
        <v>0.24</v>
      </c>
      <c r="AE93">
        <v>10.563000000000001</v>
      </c>
      <c r="AF93">
        <v>0</v>
      </c>
      <c r="AG93">
        <v>81.387314000000003</v>
      </c>
      <c r="AH93">
        <v>61.036712999999999</v>
      </c>
      <c r="AI93">
        <v>322.48089599999997</v>
      </c>
      <c r="AJ93">
        <v>-33.878838000000002</v>
      </c>
      <c r="AK93">
        <v>175.76071200000001</v>
      </c>
      <c r="AL93">
        <v>2.4167700000000001</v>
      </c>
      <c r="AM93">
        <v>155.42211900000001</v>
      </c>
      <c r="AN93">
        <v>38.817112000000002</v>
      </c>
      <c r="AO93">
        <v>359.74252300000001</v>
      </c>
      <c r="AP93">
        <v>49.847651999999997</v>
      </c>
      <c r="AQ93">
        <v>111.314789</v>
      </c>
      <c r="AR93">
        <v>174.41712999999999</v>
      </c>
      <c r="AS93">
        <v>27.165379000000001</v>
      </c>
      <c r="AT93">
        <v>11.556549</v>
      </c>
      <c r="AU93">
        <v>173.51289399999999</v>
      </c>
      <c r="AV93">
        <v>1.176015</v>
      </c>
      <c r="AW93">
        <v>359.602081</v>
      </c>
      <c r="AX93">
        <v>49.900168999999998</v>
      </c>
      <c r="AY93">
        <v>100.971161</v>
      </c>
      <c r="AZ93">
        <v>160.567047</v>
      </c>
      <c r="BA93">
        <v>29.731894</v>
      </c>
      <c r="BB93">
        <v>12.569008999999999</v>
      </c>
      <c r="BC93">
        <v>15.748302000000001</v>
      </c>
      <c r="BD93">
        <v>120.071716</v>
      </c>
      <c r="BE93">
        <v>40.884200999999997</v>
      </c>
      <c r="BF93">
        <v>39.916846999999997</v>
      </c>
      <c r="BG93">
        <v>39.675068000000003</v>
      </c>
      <c r="BH93">
        <v>13</v>
      </c>
      <c r="BI93">
        <v>13</v>
      </c>
      <c r="BJ93">
        <v>0</v>
      </c>
      <c r="BK93">
        <v>71</v>
      </c>
      <c r="BL93">
        <v>1.8200000000000001E-2</v>
      </c>
      <c r="BM93">
        <v>7.6499999999999997E-3</v>
      </c>
      <c r="BN93">
        <v>-1</v>
      </c>
      <c r="BO93">
        <v>3</v>
      </c>
      <c r="BP93">
        <v>1</v>
      </c>
      <c r="BQ93">
        <v>2.63</v>
      </c>
      <c r="BR93">
        <v>53.911568000000003</v>
      </c>
      <c r="BS93">
        <v>26.026814000000002</v>
      </c>
      <c r="BT93">
        <v>9.1459999999999996E-3</v>
      </c>
      <c r="BU93">
        <v>48.918838999999998</v>
      </c>
      <c r="BV93">
        <v>0.88563800000000004</v>
      </c>
      <c r="BW93">
        <v>0.27159899999999998</v>
      </c>
      <c r="BX93">
        <v>0.53651400000000005</v>
      </c>
      <c r="BY93">
        <v>2.4654240000000001</v>
      </c>
      <c r="BZ93">
        <v>0.92217899999999997</v>
      </c>
      <c r="CA93">
        <v>2020</v>
      </c>
      <c r="CB93">
        <v>1</v>
      </c>
      <c r="CC93">
        <v>29</v>
      </c>
      <c r="CD93">
        <v>2</v>
      </c>
      <c r="CE93">
        <v>1</v>
      </c>
      <c r="CF93">
        <v>14.329996</v>
      </c>
      <c r="CG93">
        <v>2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1.9562E-2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25">
      <c r="A94">
        <v>93</v>
      </c>
      <c r="B94" t="s">
        <v>225</v>
      </c>
      <c r="C94">
        <v>58877.088503999999</v>
      </c>
      <c r="D94">
        <v>308.34457400000002</v>
      </c>
      <c r="E94" s="3" t="s">
        <v>113</v>
      </c>
      <c r="F94" s="3" t="s">
        <v>122</v>
      </c>
      <c r="G94">
        <v>-1.3332710000000001</v>
      </c>
      <c r="H94">
        <v>232.119156</v>
      </c>
      <c r="I94">
        <v>26.184231</v>
      </c>
      <c r="J94">
        <v>232.53630100000001</v>
      </c>
      <c r="K94">
        <v>25.818617</v>
      </c>
      <c r="L94">
        <v>221.37725800000001</v>
      </c>
      <c r="M94">
        <v>43.139507000000002</v>
      </c>
      <c r="N94">
        <v>57.254986000000002</v>
      </c>
      <c r="O94">
        <v>57.254986000000002</v>
      </c>
      <c r="P94">
        <v>55.893318000000001</v>
      </c>
      <c r="Q94">
        <v>39.699458999999997</v>
      </c>
      <c r="R94">
        <v>3.9335779999999998</v>
      </c>
      <c r="S94">
        <v>0.98076399999999997</v>
      </c>
      <c r="T94">
        <v>0.75066900000000003</v>
      </c>
      <c r="U94">
        <v>7.8047040000000001</v>
      </c>
      <c r="V94">
        <v>172.03680399999999</v>
      </c>
      <c r="W94">
        <v>308.34448200000003</v>
      </c>
      <c r="X94">
        <v>105.3339</v>
      </c>
      <c r="Y94" t="s">
        <v>219</v>
      </c>
      <c r="Z94">
        <v>1.3631789999999999</v>
      </c>
      <c r="AA94">
        <v>3.6322100000000002</v>
      </c>
      <c r="AB94">
        <v>0.3</v>
      </c>
      <c r="AC94">
        <v>1.236782</v>
      </c>
      <c r="AD94">
        <v>0.08</v>
      </c>
      <c r="AE94">
        <v>14.98</v>
      </c>
      <c r="AF94">
        <v>0</v>
      </c>
      <c r="AG94">
        <v>136.187622</v>
      </c>
      <c r="AH94">
        <v>11.868596</v>
      </c>
      <c r="AI94">
        <v>4.4683950000000001</v>
      </c>
      <c r="AJ94">
        <v>-37.302982</v>
      </c>
      <c r="AK94">
        <v>22.784962</v>
      </c>
      <c r="AL94">
        <v>62.112492000000003</v>
      </c>
      <c r="AM94">
        <v>337.313354</v>
      </c>
      <c r="AN94">
        <v>28.916651000000002</v>
      </c>
      <c r="AO94">
        <v>356.01733400000001</v>
      </c>
      <c r="AP94">
        <v>52.395038999999997</v>
      </c>
      <c r="AQ94">
        <v>104.823708</v>
      </c>
      <c r="AR94">
        <v>212.201279</v>
      </c>
      <c r="AS94">
        <v>88.619231999999997</v>
      </c>
      <c r="AT94">
        <v>62.25703</v>
      </c>
      <c r="AU94">
        <v>23.877034999999999</v>
      </c>
      <c r="AV94">
        <v>60.990397999999999</v>
      </c>
      <c r="AW94">
        <v>355.96002199999998</v>
      </c>
      <c r="AX94">
        <v>52.390906999999999</v>
      </c>
      <c r="AY94">
        <v>102.57781199999999</v>
      </c>
      <c r="AZ94">
        <v>212.10955799999999</v>
      </c>
      <c r="BA94">
        <v>89.855911000000006</v>
      </c>
      <c r="BB94">
        <v>62.304175999999998</v>
      </c>
      <c r="BC94">
        <v>4.5803989999999999</v>
      </c>
      <c r="BD94">
        <v>83.190421999999998</v>
      </c>
      <c r="BE94">
        <v>28.377020000000002</v>
      </c>
      <c r="BF94">
        <v>28.833067</v>
      </c>
      <c r="BG94">
        <v>28.309612000000001</v>
      </c>
      <c r="BH94">
        <v>5</v>
      </c>
      <c r="BI94">
        <v>5</v>
      </c>
      <c r="BJ94">
        <v>0</v>
      </c>
      <c r="BK94">
        <v>19</v>
      </c>
      <c r="BL94">
        <v>2.7130000000000001E-2</v>
      </c>
      <c r="BM94">
        <v>1.5440000000000001E-2</v>
      </c>
      <c r="BN94">
        <v>-1</v>
      </c>
      <c r="BO94">
        <v>3</v>
      </c>
      <c r="BP94">
        <v>1</v>
      </c>
      <c r="BQ94">
        <v>0.119995</v>
      </c>
      <c r="BR94">
        <v>239.824341</v>
      </c>
      <c r="BS94">
        <v>62.287201000000003</v>
      </c>
      <c r="BT94">
        <v>0.104923</v>
      </c>
      <c r="BU94">
        <v>98.055999999999997</v>
      </c>
      <c r="BV94">
        <v>11.696365</v>
      </c>
      <c r="BW94">
        <v>0.52367900000000001</v>
      </c>
      <c r="BX94">
        <v>2.7931460000000001</v>
      </c>
      <c r="BY94">
        <v>3.1545730000000001</v>
      </c>
      <c r="BZ94">
        <v>0.90159</v>
      </c>
      <c r="CA94">
        <v>2020</v>
      </c>
      <c r="CB94">
        <v>1</v>
      </c>
      <c r="CC94">
        <v>29</v>
      </c>
      <c r="CD94">
        <v>2</v>
      </c>
      <c r="CE94">
        <v>7</v>
      </c>
      <c r="CF94">
        <v>26.710003</v>
      </c>
      <c r="CG94">
        <v>2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0.25422099999999997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</row>
    <row r="95" spans="1:105" x14ac:dyDescent="0.25">
      <c r="A95">
        <v>94</v>
      </c>
      <c r="B95" t="s">
        <v>226</v>
      </c>
      <c r="C95">
        <v>58877.129441999998</v>
      </c>
      <c r="D95">
        <v>308.386169</v>
      </c>
      <c r="E95" s="3" t="s">
        <v>106</v>
      </c>
      <c r="F95" s="3" t="s">
        <v>191</v>
      </c>
      <c r="G95">
        <v>1.300305</v>
      </c>
      <c r="H95">
        <v>136.326233</v>
      </c>
      <c r="I95">
        <v>12.615078</v>
      </c>
      <c r="J95">
        <v>134.65902700000001</v>
      </c>
      <c r="K95">
        <v>10.541199000000001</v>
      </c>
      <c r="L95">
        <v>134.04835499999999</v>
      </c>
      <c r="M95">
        <v>-6.3317829999999997</v>
      </c>
      <c r="N95">
        <v>27.579756</v>
      </c>
      <c r="O95">
        <v>27.579756</v>
      </c>
      <c r="P95">
        <v>25.402028999999999</v>
      </c>
      <c r="Q95">
        <v>37.405453000000001</v>
      </c>
      <c r="R95">
        <v>2.2046070000000002</v>
      </c>
      <c r="S95">
        <v>0.47708400000000001</v>
      </c>
      <c r="T95">
        <v>0.78359699999999999</v>
      </c>
      <c r="U95">
        <v>3.274699</v>
      </c>
      <c r="V95">
        <v>99.993094999999997</v>
      </c>
      <c r="W95">
        <v>128.383072</v>
      </c>
      <c r="X95">
        <v>5.7641910000000003</v>
      </c>
      <c r="Y95" t="s">
        <v>227</v>
      </c>
      <c r="Z95">
        <v>0.70507299999999995</v>
      </c>
      <c r="AA95">
        <v>0.80169900000000005</v>
      </c>
      <c r="AB95">
        <v>1.2</v>
      </c>
      <c r="AC95">
        <v>4.0686109999999998</v>
      </c>
      <c r="AD95">
        <v>0.34</v>
      </c>
      <c r="AE95">
        <v>11.614000000000001</v>
      </c>
      <c r="AF95">
        <v>0</v>
      </c>
      <c r="AG95">
        <v>48.786976000000003</v>
      </c>
      <c r="AH95">
        <v>-10.859842</v>
      </c>
      <c r="AI95">
        <v>224.678787</v>
      </c>
      <c r="AJ95">
        <v>29.088949</v>
      </c>
      <c r="AK95">
        <v>122.542351</v>
      </c>
      <c r="AL95">
        <v>55.557968000000002</v>
      </c>
      <c r="AM95">
        <v>298.72271699999999</v>
      </c>
      <c r="AN95">
        <v>60.109940000000002</v>
      </c>
      <c r="AO95">
        <v>358.36935399999999</v>
      </c>
      <c r="AP95">
        <v>51.152061000000003</v>
      </c>
      <c r="AQ95">
        <v>85.761252999999996</v>
      </c>
      <c r="AR95">
        <v>98.727256999999994</v>
      </c>
      <c r="AS95">
        <v>44.263409000000003</v>
      </c>
      <c r="AT95">
        <v>19.028877000000001</v>
      </c>
      <c r="AU95">
        <v>119.88357499999999</v>
      </c>
      <c r="AV95">
        <v>59.367854999999999</v>
      </c>
      <c r="AW95">
        <v>358.44622800000002</v>
      </c>
      <c r="AX95">
        <v>51.191315000000003</v>
      </c>
      <c r="AY95">
        <v>79.555214000000007</v>
      </c>
      <c r="AZ95">
        <v>92.244415000000004</v>
      </c>
      <c r="BA95">
        <v>48.332023999999997</v>
      </c>
      <c r="BB95">
        <v>20.423641</v>
      </c>
      <c r="BC95">
        <v>9.3771170000000001</v>
      </c>
      <c r="BD95">
        <v>230.39257799999999</v>
      </c>
      <c r="BE95">
        <v>41.531272999999999</v>
      </c>
      <c r="BF95">
        <v>41.368316999999998</v>
      </c>
      <c r="BG95">
        <v>38.754879000000003</v>
      </c>
      <c r="BH95">
        <v>18</v>
      </c>
      <c r="BI95">
        <v>16</v>
      </c>
      <c r="BJ95">
        <v>11.111110999999999</v>
      </c>
      <c r="BK95">
        <v>103</v>
      </c>
      <c r="BL95">
        <v>2.8549999999999999E-2</v>
      </c>
      <c r="BM95">
        <v>1.9959999999999999E-2</v>
      </c>
      <c r="BN95">
        <v>-1</v>
      </c>
      <c r="BO95">
        <v>3</v>
      </c>
      <c r="BP95">
        <v>1</v>
      </c>
      <c r="BQ95">
        <v>3.7999990000000001</v>
      </c>
      <c r="BR95">
        <v>53.911568000000003</v>
      </c>
      <c r="BS95">
        <v>27.848858</v>
      </c>
      <c r="BT95">
        <v>1.3880999999999999E-2</v>
      </c>
      <c r="BU95">
        <v>53.812140999999997</v>
      </c>
      <c r="BV95">
        <v>2.0770819999999999</v>
      </c>
      <c r="BW95">
        <v>2.6397439999999999</v>
      </c>
      <c r="BX95">
        <v>0.84565400000000002</v>
      </c>
      <c r="BY95">
        <v>2.423365</v>
      </c>
      <c r="BZ95">
        <v>0.90291500000000002</v>
      </c>
      <c r="CA95">
        <v>2020</v>
      </c>
      <c r="CB95">
        <v>1</v>
      </c>
      <c r="CC95">
        <v>29</v>
      </c>
      <c r="CD95">
        <v>3</v>
      </c>
      <c r="CE95">
        <v>6</v>
      </c>
      <c r="CF95">
        <v>23.75</v>
      </c>
      <c r="CG95">
        <v>2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0.453596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</row>
    <row r="96" spans="1:105" x14ac:dyDescent="0.25">
      <c r="A96">
        <v>95</v>
      </c>
      <c r="B96" t="s">
        <v>228</v>
      </c>
      <c r="C96">
        <v>58877.144451</v>
      </c>
      <c r="D96">
        <v>308.40142800000001</v>
      </c>
      <c r="E96" s="3" t="s">
        <v>107</v>
      </c>
      <c r="F96" s="3" t="s">
        <v>106</v>
      </c>
      <c r="G96">
        <v>-1.720415</v>
      </c>
      <c r="H96">
        <v>221.55043000000001</v>
      </c>
      <c r="I96">
        <v>6.398288</v>
      </c>
      <c r="J96">
        <v>221.59092699999999</v>
      </c>
      <c r="K96">
        <v>6.0733350000000002</v>
      </c>
      <c r="L96">
        <v>217.15310700000001</v>
      </c>
      <c r="M96">
        <v>21.076281000000002</v>
      </c>
      <c r="N96">
        <v>70.980461000000005</v>
      </c>
      <c r="O96">
        <v>70.980461000000005</v>
      </c>
      <c r="P96">
        <v>69.885574000000005</v>
      </c>
      <c r="Q96">
        <v>43.062266999999999</v>
      </c>
      <c r="R96">
        <v>-16.802558999999999</v>
      </c>
      <c r="S96">
        <v>0.98408200000000001</v>
      </c>
      <c r="T96">
        <v>1.058567</v>
      </c>
      <c r="U96">
        <v>0</v>
      </c>
      <c r="V96">
        <v>183.14183</v>
      </c>
      <c r="W96">
        <v>308.40100100000001</v>
      </c>
      <c r="X96">
        <v>144.279236</v>
      </c>
      <c r="Y96" t="s">
        <v>114</v>
      </c>
      <c r="Z96">
        <v>-1</v>
      </c>
      <c r="AA96">
        <v>-1</v>
      </c>
      <c r="AB96">
        <v>-1.3</v>
      </c>
      <c r="AC96">
        <v>5.3350229999999996</v>
      </c>
      <c r="AD96">
        <v>0.16</v>
      </c>
      <c r="AE96">
        <v>32.848998999999999</v>
      </c>
      <c r="AF96">
        <v>0</v>
      </c>
      <c r="AG96">
        <v>132.632599</v>
      </c>
      <c r="AH96">
        <v>-9.5601149999999997</v>
      </c>
      <c r="AI96">
        <v>315.60635400000001</v>
      </c>
      <c r="AJ96">
        <v>-31.201758999999999</v>
      </c>
      <c r="AK96">
        <v>145.051559</v>
      </c>
      <c r="AL96">
        <v>80.215209999999999</v>
      </c>
      <c r="AM96">
        <v>350.18765300000001</v>
      </c>
      <c r="AN96">
        <v>58.806117999999998</v>
      </c>
      <c r="AO96">
        <v>356.627747</v>
      </c>
      <c r="AP96">
        <v>51.243462000000001</v>
      </c>
      <c r="AQ96">
        <v>104.57308999999999</v>
      </c>
      <c r="AR96">
        <v>121.947968</v>
      </c>
      <c r="AS96">
        <v>81.416663999999997</v>
      </c>
      <c r="AT96">
        <v>42.580345000000001</v>
      </c>
      <c r="AU96">
        <v>113.80843400000001</v>
      </c>
      <c r="AV96">
        <v>79.910460999999998</v>
      </c>
      <c r="AW96">
        <v>356.51495399999999</v>
      </c>
      <c r="AX96">
        <v>51.291252</v>
      </c>
      <c r="AY96">
        <v>98.602196000000006</v>
      </c>
      <c r="AZ96">
        <v>120.77617600000001</v>
      </c>
      <c r="BA96">
        <v>86.751686000000007</v>
      </c>
      <c r="BB96">
        <v>43.093280999999998</v>
      </c>
      <c r="BC96">
        <v>11.356873999999999</v>
      </c>
      <c r="BD96">
        <v>123.98214</v>
      </c>
      <c r="BE96">
        <v>31.559414</v>
      </c>
      <c r="BF96">
        <v>31.949245000000001</v>
      </c>
      <c r="BG96">
        <v>31.651959999999999</v>
      </c>
      <c r="BH96">
        <v>9</v>
      </c>
      <c r="BI96">
        <v>9</v>
      </c>
      <c r="BJ96">
        <v>0</v>
      </c>
      <c r="BK96">
        <v>0</v>
      </c>
      <c r="BL96">
        <v>0.1</v>
      </c>
      <c r="BM96">
        <v>1.234E-2</v>
      </c>
      <c r="BN96">
        <v>-1</v>
      </c>
      <c r="BO96">
        <v>3</v>
      </c>
      <c r="BP96">
        <v>1</v>
      </c>
      <c r="BQ96">
        <v>9.9979999999999999E-3</v>
      </c>
      <c r="BR96">
        <v>156.88954200000001</v>
      </c>
      <c r="BS96">
        <v>43.179603999999998</v>
      </c>
      <c r="BT96">
        <v>5.3000000000000001E-5</v>
      </c>
      <c r="BU96">
        <v>33.869720000000001</v>
      </c>
      <c r="BV96">
        <v>0.85331299999999999</v>
      </c>
      <c r="BW96">
        <v>0.32743699999999998</v>
      </c>
      <c r="BX96">
        <v>2.4740549999999999</v>
      </c>
      <c r="BY96">
        <v>3.621337</v>
      </c>
      <c r="BZ96">
        <v>0.62770999999999999</v>
      </c>
      <c r="CA96">
        <v>2020</v>
      </c>
      <c r="CB96">
        <v>1</v>
      </c>
      <c r="CC96">
        <v>29</v>
      </c>
      <c r="CD96">
        <v>3</v>
      </c>
      <c r="CE96">
        <v>28</v>
      </c>
      <c r="CF96">
        <v>0.58999900000000005</v>
      </c>
      <c r="CG96">
        <v>2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-5.9514999999999998E-2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</row>
    <row r="97" spans="1:105" x14ac:dyDescent="0.25">
      <c r="A97">
        <v>96</v>
      </c>
      <c r="B97" t="s">
        <v>229</v>
      </c>
      <c r="C97">
        <v>58877.173679</v>
      </c>
      <c r="D97">
        <v>308.431152</v>
      </c>
      <c r="E97" s="3" t="s">
        <v>107</v>
      </c>
      <c r="F97" s="3" t="s">
        <v>106</v>
      </c>
      <c r="G97">
        <v>-1.2899989999999999</v>
      </c>
      <c r="H97">
        <v>240.912567</v>
      </c>
      <c r="I97">
        <v>17.289401999999999</v>
      </c>
      <c r="J97">
        <v>241.055725</v>
      </c>
      <c r="K97">
        <v>16.976196000000002</v>
      </c>
      <c r="L97">
        <v>234.61909499999999</v>
      </c>
      <c r="M97">
        <v>36.925418999999998</v>
      </c>
      <c r="N97">
        <v>61.563606</v>
      </c>
      <c r="O97">
        <v>61.563606</v>
      </c>
      <c r="P97">
        <v>60.309750000000001</v>
      </c>
      <c r="Q97">
        <v>41.913795</v>
      </c>
      <c r="R97">
        <v>19.806778000000001</v>
      </c>
      <c r="S97">
        <v>0.87799799999999995</v>
      </c>
      <c r="T97">
        <v>0.95567199999999997</v>
      </c>
      <c r="U97">
        <v>88.185149999999993</v>
      </c>
      <c r="V97">
        <v>141.076187</v>
      </c>
      <c r="W97">
        <v>308.43099999999998</v>
      </c>
      <c r="X97">
        <v>113.896828</v>
      </c>
      <c r="Y97" t="s">
        <v>114</v>
      </c>
      <c r="Z97">
        <v>-1</v>
      </c>
      <c r="AA97">
        <v>-1</v>
      </c>
      <c r="AB97">
        <v>-0.5</v>
      </c>
      <c r="AC97">
        <v>3.8537759999999999</v>
      </c>
      <c r="AD97">
        <v>0.3</v>
      </c>
      <c r="AE97">
        <v>12.839</v>
      </c>
      <c r="AF97">
        <v>0</v>
      </c>
      <c r="AG97">
        <v>323.14404300000001</v>
      </c>
      <c r="AH97">
        <v>-23.473746999999999</v>
      </c>
      <c r="AI97">
        <v>333.85476699999998</v>
      </c>
      <c r="AJ97">
        <v>-36.399997999999997</v>
      </c>
      <c r="AK97">
        <v>257.437164</v>
      </c>
      <c r="AL97">
        <v>43.451405000000001</v>
      </c>
      <c r="AM97">
        <v>70.150290999999996</v>
      </c>
      <c r="AN97">
        <v>43.334446</v>
      </c>
      <c r="AO97">
        <v>-1.7658700000000001</v>
      </c>
      <c r="AP97">
        <v>51.011929000000002</v>
      </c>
      <c r="AQ97">
        <v>105.37647200000001</v>
      </c>
      <c r="AR97">
        <v>151.750137</v>
      </c>
      <c r="AS97">
        <v>29.666385999999999</v>
      </c>
      <c r="AT97">
        <v>27.359694999999999</v>
      </c>
      <c r="AU97">
        <v>260.51577800000001</v>
      </c>
      <c r="AV97">
        <v>46.633403999999999</v>
      </c>
      <c r="AW97">
        <v>-1.9618679999999999</v>
      </c>
      <c r="AX97">
        <v>51.055160999999998</v>
      </c>
      <c r="AY97">
        <v>94.336021000000002</v>
      </c>
      <c r="AZ97">
        <v>136.00947600000001</v>
      </c>
      <c r="BA97">
        <v>33.520161000000002</v>
      </c>
      <c r="BB97">
        <v>30.848027999999999</v>
      </c>
      <c r="BC97">
        <v>18.469082</v>
      </c>
      <c r="BD97">
        <v>109.320229</v>
      </c>
      <c r="BE97">
        <v>36.598095000000001</v>
      </c>
      <c r="BF97">
        <v>35.831035999999997</v>
      </c>
      <c r="BG97">
        <v>35.501567999999999</v>
      </c>
      <c r="BH97">
        <v>16</v>
      </c>
      <c r="BI97">
        <v>16</v>
      </c>
      <c r="BJ97">
        <v>0</v>
      </c>
      <c r="BK97">
        <v>43</v>
      </c>
      <c r="BL97">
        <v>3.4660000000000003E-2</v>
      </c>
      <c r="BM97">
        <v>1.187E-2</v>
      </c>
      <c r="BN97">
        <v>-1</v>
      </c>
      <c r="BO97">
        <v>3</v>
      </c>
      <c r="BP97">
        <v>1</v>
      </c>
      <c r="BQ97">
        <v>0.19999900000000001</v>
      </c>
      <c r="BR97">
        <v>156.88954200000001</v>
      </c>
      <c r="BS97">
        <v>68.206879000000001</v>
      </c>
      <c r="BT97">
        <v>6.6299999999999996E-4</v>
      </c>
      <c r="BU97">
        <v>67.413787999999997</v>
      </c>
      <c r="BV97">
        <v>0.61726999999999999</v>
      </c>
      <c r="BW97">
        <v>0.34177999999999997</v>
      </c>
      <c r="BX97">
        <v>0.35247499999999998</v>
      </c>
      <c r="BY97">
        <v>0.68740500000000004</v>
      </c>
      <c r="BZ97">
        <v>0.97529699999999997</v>
      </c>
      <c r="CA97">
        <v>2020</v>
      </c>
      <c r="CB97">
        <v>1</v>
      </c>
      <c r="CC97">
        <v>29</v>
      </c>
      <c r="CD97">
        <v>4</v>
      </c>
      <c r="CE97">
        <v>10</v>
      </c>
      <c r="CF97">
        <v>5.8400020000000001</v>
      </c>
      <c r="CG97">
        <v>2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5.0487999999999998E-2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</row>
    <row r="98" spans="1:105" x14ac:dyDescent="0.25">
      <c r="A98">
        <v>97</v>
      </c>
      <c r="B98" t="s">
        <v>230</v>
      </c>
      <c r="C98">
        <v>58877.213606999998</v>
      </c>
      <c r="D98">
        <v>308.47170999999997</v>
      </c>
      <c r="E98" s="3" t="s">
        <v>106</v>
      </c>
      <c r="F98" s="3" t="s">
        <v>191</v>
      </c>
      <c r="G98">
        <v>-0.36041699999999999</v>
      </c>
      <c r="H98">
        <v>231.25389100000001</v>
      </c>
      <c r="I98">
        <v>14.536733</v>
      </c>
      <c r="J98">
        <v>231.17218</v>
      </c>
      <c r="K98">
        <v>14.231216</v>
      </c>
      <c r="L98">
        <v>224.39553799999999</v>
      </c>
      <c r="M98">
        <v>31.728479</v>
      </c>
      <c r="N98">
        <v>61.877040999999998</v>
      </c>
      <c r="O98">
        <v>61.877040999999998</v>
      </c>
      <c r="P98">
        <v>60.726402</v>
      </c>
      <c r="Q98">
        <v>38.689968</v>
      </c>
      <c r="R98">
        <v>2.9121199999999998</v>
      </c>
      <c r="S98">
        <v>0.95968500000000001</v>
      </c>
      <c r="T98">
        <v>0.67045100000000002</v>
      </c>
      <c r="U98">
        <v>4.9715119999999997</v>
      </c>
      <c r="V98">
        <v>159.44464099999999</v>
      </c>
      <c r="W98">
        <v>308.47152699999998</v>
      </c>
      <c r="X98">
        <v>123.487556</v>
      </c>
      <c r="Y98" t="s">
        <v>114</v>
      </c>
      <c r="Z98">
        <v>-1</v>
      </c>
      <c r="AA98">
        <v>-1</v>
      </c>
      <c r="AB98">
        <v>0</v>
      </c>
      <c r="AC98">
        <v>6.566319</v>
      </c>
      <c r="AD98">
        <v>0.24</v>
      </c>
      <c r="AE98">
        <v>27.146999000000001</v>
      </c>
      <c r="AF98">
        <v>0</v>
      </c>
      <c r="AG98">
        <v>336.049286</v>
      </c>
      <c r="AH98">
        <v>44.562099000000003</v>
      </c>
      <c r="AI98">
        <v>303.433899</v>
      </c>
      <c r="AJ98">
        <v>-25.053267999999999</v>
      </c>
      <c r="AK98">
        <v>166.07908599999999</v>
      </c>
      <c r="AL98">
        <v>44.996718999999999</v>
      </c>
      <c r="AM98">
        <v>271.05874599999999</v>
      </c>
      <c r="AN98">
        <v>64.478690999999998</v>
      </c>
      <c r="AO98">
        <v>-1.753017</v>
      </c>
      <c r="AP98">
        <v>50.951659999999997</v>
      </c>
      <c r="AQ98">
        <v>109.556725</v>
      </c>
      <c r="AR98">
        <v>121.129333</v>
      </c>
      <c r="AS98">
        <v>62.298439000000002</v>
      </c>
      <c r="AT98">
        <v>22.637325000000001</v>
      </c>
      <c r="AU98">
        <v>156.77327</v>
      </c>
      <c r="AV98">
        <v>45.435611999999999</v>
      </c>
      <c r="AW98">
        <v>-1.848276</v>
      </c>
      <c r="AX98">
        <v>51.017623999999998</v>
      </c>
      <c r="AY98">
        <v>98.686622999999997</v>
      </c>
      <c r="AZ98">
        <v>114.98009500000001</v>
      </c>
      <c r="BA98">
        <v>68.864761000000001</v>
      </c>
      <c r="BB98">
        <v>23.921291</v>
      </c>
      <c r="BC98">
        <v>14.850490000000001</v>
      </c>
      <c r="BD98">
        <v>137.569672</v>
      </c>
      <c r="BE98">
        <v>46.931514999999997</v>
      </c>
      <c r="BF98">
        <v>47.250038000000004</v>
      </c>
      <c r="BG98">
        <v>47.007846999999998</v>
      </c>
      <c r="BH98">
        <v>13</v>
      </c>
      <c r="BI98">
        <v>13</v>
      </c>
      <c r="BJ98">
        <v>0</v>
      </c>
      <c r="BK98">
        <v>62</v>
      </c>
      <c r="BL98">
        <v>2.947E-2</v>
      </c>
      <c r="BM98">
        <v>1.242E-2</v>
      </c>
      <c r="BN98">
        <v>-1</v>
      </c>
      <c r="BO98">
        <v>3</v>
      </c>
      <c r="BP98">
        <v>1</v>
      </c>
      <c r="BQ98">
        <v>3.8200050000000001</v>
      </c>
      <c r="BR98">
        <v>53.911568000000003</v>
      </c>
      <c r="BS98">
        <v>25.767754</v>
      </c>
      <c r="BT98">
        <v>1.4459E-2</v>
      </c>
      <c r="BU98">
        <v>70.247580999999997</v>
      </c>
      <c r="BV98">
        <v>2.2938990000000001</v>
      </c>
      <c r="BW98">
        <v>0.31560199999999999</v>
      </c>
      <c r="BX98">
        <v>0.79405599999999998</v>
      </c>
      <c r="BY98">
        <v>1.958304</v>
      </c>
      <c r="BZ98">
        <v>0.93732899999999997</v>
      </c>
      <c r="CA98">
        <v>2020</v>
      </c>
      <c r="CB98">
        <v>1</v>
      </c>
      <c r="CC98">
        <v>29</v>
      </c>
      <c r="CD98">
        <v>5</v>
      </c>
      <c r="CE98">
        <v>7</v>
      </c>
      <c r="CF98">
        <v>35.639999000000003</v>
      </c>
      <c r="CG98">
        <v>2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0.34339199999999998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</row>
    <row r="99" spans="1:105" x14ac:dyDescent="0.25">
      <c r="A99">
        <v>98</v>
      </c>
      <c r="B99" t="s">
        <v>231</v>
      </c>
      <c r="C99">
        <v>58877.221353000001</v>
      </c>
      <c r="D99">
        <v>308.47958399999999</v>
      </c>
      <c r="E99" s="3" t="s">
        <v>186</v>
      </c>
      <c r="F99" s="3" t="s">
        <v>125</v>
      </c>
      <c r="G99">
        <v>-0.87599899999999997</v>
      </c>
      <c r="H99">
        <v>226.16007999999999</v>
      </c>
      <c r="I99">
        <v>9.1862619999999993</v>
      </c>
      <c r="J99">
        <v>226.03874200000001</v>
      </c>
      <c r="K99">
        <v>8.8033180000000009</v>
      </c>
      <c r="L99">
        <v>220.78277600000001</v>
      </c>
      <c r="M99">
        <v>25.045504000000001</v>
      </c>
      <c r="N99">
        <v>61.340434999999999</v>
      </c>
      <c r="O99">
        <v>61.340434999999999</v>
      </c>
      <c r="P99">
        <v>60.205444</v>
      </c>
      <c r="Q99">
        <v>35.264018999999998</v>
      </c>
      <c r="R99">
        <v>1.589852</v>
      </c>
      <c r="S99">
        <v>0.97663999999999995</v>
      </c>
      <c r="T99">
        <v>0.38570399999999999</v>
      </c>
      <c r="U99">
        <v>2.0054400000000001</v>
      </c>
      <c r="V99">
        <v>165.93997200000001</v>
      </c>
      <c r="W99">
        <v>308.47927900000002</v>
      </c>
      <c r="X99">
        <v>133.57888800000001</v>
      </c>
      <c r="Y99" t="s">
        <v>114</v>
      </c>
      <c r="Z99">
        <v>-1</v>
      </c>
      <c r="AA99">
        <v>-1</v>
      </c>
      <c r="AB99">
        <v>0.1</v>
      </c>
      <c r="AC99">
        <v>3.5758899999999998</v>
      </c>
      <c r="AD99">
        <v>0.16</v>
      </c>
      <c r="AE99">
        <v>22.749001</v>
      </c>
      <c r="AF99">
        <v>0</v>
      </c>
      <c r="AG99">
        <v>137.538284</v>
      </c>
      <c r="AH99">
        <v>-8.4593779999999992</v>
      </c>
      <c r="AI99">
        <v>291.61526500000002</v>
      </c>
      <c r="AJ99">
        <v>-18.267226999999998</v>
      </c>
      <c r="AK99">
        <v>81.721985000000004</v>
      </c>
      <c r="AL99">
        <v>75.173347000000007</v>
      </c>
      <c r="AM99">
        <v>342.96804800000001</v>
      </c>
      <c r="AN99">
        <v>42.203612999999997</v>
      </c>
      <c r="AO99">
        <v>-3.7923939999999998</v>
      </c>
      <c r="AP99">
        <v>52.427982</v>
      </c>
      <c r="AQ99">
        <v>105.89806400000001</v>
      </c>
      <c r="AR99">
        <v>156.34314000000001</v>
      </c>
      <c r="AS99">
        <v>92.933043999999995</v>
      </c>
      <c r="AT99">
        <v>43.566101000000003</v>
      </c>
      <c r="AU99">
        <v>75.011307000000002</v>
      </c>
      <c r="AV99">
        <v>72.131446999999994</v>
      </c>
      <c r="AW99">
        <v>-3.845739</v>
      </c>
      <c r="AX99">
        <v>52.482177999999998</v>
      </c>
      <c r="AY99">
        <v>99.195007000000004</v>
      </c>
      <c r="AZ99">
        <v>157.15130600000001</v>
      </c>
      <c r="BA99">
        <v>96.508933999999996</v>
      </c>
      <c r="BB99">
        <v>43.286495000000002</v>
      </c>
      <c r="BC99">
        <v>9.8144690000000008</v>
      </c>
      <c r="BD99">
        <v>148.81317100000001</v>
      </c>
      <c r="BE99">
        <v>42.955424999999998</v>
      </c>
      <c r="BF99">
        <v>43.952969000000003</v>
      </c>
      <c r="BG99">
        <v>43.629116000000003</v>
      </c>
      <c r="BH99">
        <v>9</v>
      </c>
      <c r="BI99">
        <v>9</v>
      </c>
      <c r="BJ99">
        <v>0</v>
      </c>
      <c r="BK99">
        <v>0</v>
      </c>
      <c r="BL99">
        <v>0.1</v>
      </c>
      <c r="BM99">
        <v>3.1099999999999999E-3</v>
      </c>
      <c r="BN99">
        <v>-1</v>
      </c>
      <c r="BO99">
        <v>3</v>
      </c>
      <c r="BP99">
        <v>1</v>
      </c>
      <c r="BQ99">
        <v>4.0002000000000003E-2</v>
      </c>
      <c r="BR99">
        <v>144.843918</v>
      </c>
      <c r="BS99">
        <v>43.637630000000001</v>
      </c>
      <c r="BT99">
        <v>1.17E-4</v>
      </c>
      <c r="BU99">
        <v>14.579945</v>
      </c>
      <c r="BV99">
        <v>5.6286589999999999</v>
      </c>
      <c r="BW99">
        <v>0.40125899999999998</v>
      </c>
      <c r="BX99">
        <v>3.9514230000000001</v>
      </c>
      <c r="BY99">
        <v>5.7630590000000002</v>
      </c>
      <c r="BZ99">
        <v>0.82366200000000001</v>
      </c>
      <c r="CA99">
        <v>2020</v>
      </c>
      <c r="CB99">
        <v>1</v>
      </c>
      <c r="CC99">
        <v>29</v>
      </c>
      <c r="CD99">
        <v>5</v>
      </c>
      <c r="CE99">
        <v>18</v>
      </c>
      <c r="CF99">
        <v>44.939999</v>
      </c>
      <c r="CG99">
        <v>2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0.62899000000000005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</row>
    <row r="100" spans="1:105" x14ac:dyDescent="0.25">
      <c r="A100">
        <v>99</v>
      </c>
      <c r="B100" t="s">
        <v>232</v>
      </c>
      <c r="C100">
        <v>58877.254132000002</v>
      </c>
      <c r="D100">
        <v>308.51290899999998</v>
      </c>
      <c r="E100" s="3" t="s">
        <v>106</v>
      </c>
      <c r="F100" s="3" t="s">
        <v>191</v>
      </c>
      <c r="G100">
        <v>1.5791770000000001</v>
      </c>
      <c r="H100">
        <v>221.09092699999999</v>
      </c>
      <c r="I100">
        <v>10.869278</v>
      </c>
      <c r="J100">
        <v>220.847565</v>
      </c>
      <c r="K100">
        <v>10.565982</v>
      </c>
      <c r="L100">
        <v>214.80777</v>
      </c>
      <c r="M100">
        <v>25.085318000000001</v>
      </c>
      <c r="N100">
        <v>65.959511000000006</v>
      </c>
      <c r="O100">
        <v>65.959511000000006</v>
      </c>
      <c r="P100">
        <v>64.992355000000003</v>
      </c>
      <c r="Q100">
        <v>39.799067999999998</v>
      </c>
      <c r="R100">
        <v>4.0773989999999998</v>
      </c>
      <c r="S100">
        <v>0.97554700000000005</v>
      </c>
      <c r="T100">
        <v>0.76074299999999995</v>
      </c>
      <c r="U100">
        <v>8.2366299999999999</v>
      </c>
      <c r="V100">
        <v>192.00685100000001</v>
      </c>
      <c r="W100">
        <v>308.51257299999997</v>
      </c>
      <c r="X100">
        <v>135.95838900000001</v>
      </c>
      <c r="Y100" t="s">
        <v>114</v>
      </c>
      <c r="Z100">
        <v>-1</v>
      </c>
      <c r="AA100">
        <v>-1</v>
      </c>
      <c r="AB100">
        <v>1.8</v>
      </c>
      <c r="AC100">
        <v>2.110811</v>
      </c>
      <c r="AD100">
        <v>0.08</v>
      </c>
      <c r="AE100">
        <v>24.202000000000002</v>
      </c>
      <c r="AF100">
        <v>0</v>
      </c>
      <c r="AG100">
        <v>137.23602299999999</v>
      </c>
      <c r="AH100">
        <v>-29.139458000000001</v>
      </c>
      <c r="AI100">
        <v>272.17810100000003</v>
      </c>
      <c r="AJ100">
        <v>-3.0325310000000001</v>
      </c>
      <c r="AK100">
        <v>184.931793</v>
      </c>
      <c r="AL100">
        <v>50.351562999999999</v>
      </c>
      <c r="AM100">
        <v>281.15399200000002</v>
      </c>
      <c r="AN100">
        <v>69.051497999999995</v>
      </c>
      <c r="AO100">
        <v>-1.5745720000000001</v>
      </c>
      <c r="AP100">
        <v>51.012065999999997</v>
      </c>
      <c r="AQ100">
        <v>105.142937</v>
      </c>
      <c r="AR100">
        <v>112.378845</v>
      </c>
      <c r="AS100">
        <v>49.373829000000001</v>
      </c>
      <c r="AT100">
        <v>27.172930000000001</v>
      </c>
      <c r="AU100">
        <v>182.33874499999999</v>
      </c>
      <c r="AV100">
        <v>51.691710999999998</v>
      </c>
      <c r="AW100">
        <v>-1.578608</v>
      </c>
      <c r="AX100">
        <v>51.042136999999997</v>
      </c>
      <c r="AY100">
        <v>101.128326</v>
      </c>
      <c r="AZ100">
        <v>109.029747</v>
      </c>
      <c r="BA100">
        <v>51.484631</v>
      </c>
      <c r="BB100">
        <v>28.080105</v>
      </c>
      <c r="BC100">
        <v>5.2767609999999996</v>
      </c>
      <c r="BD100">
        <v>174.75779700000001</v>
      </c>
      <c r="BE100">
        <v>49.673839999999998</v>
      </c>
      <c r="BF100">
        <v>49.776229999999998</v>
      </c>
      <c r="BG100">
        <v>49.484203000000001</v>
      </c>
      <c r="BH100">
        <v>5</v>
      </c>
      <c r="BI100">
        <v>5</v>
      </c>
      <c r="BJ100">
        <v>0</v>
      </c>
      <c r="BK100">
        <v>65</v>
      </c>
      <c r="BL100">
        <v>2.8379999999999999E-2</v>
      </c>
      <c r="BM100">
        <v>1.438E-2</v>
      </c>
      <c r="BN100">
        <v>-1</v>
      </c>
      <c r="BO100">
        <v>3</v>
      </c>
      <c r="BP100">
        <v>1</v>
      </c>
      <c r="BQ100">
        <v>3.7300040000000001</v>
      </c>
      <c r="BR100">
        <v>53.911568000000003</v>
      </c>
      <c r="BS100">
        <v>36.978152999999999</v>
      </c>
      <c r="BT100">
        <v>5.2138999999999998E-2</v>
      </c>
      <c r="BU100">
        <v>40.498688000000001</v>
      </c>
      <c r="BV100">
        <v>0.65254100000000004</v>
      </c>
      <c r="BW100">
        <v>0.38621899999999998</v>
      </c>
      <c r="BX100">
        <v>1.411564</v>
      </c>
      <c r="BY100">
        <v>2.9988260000000002</v>
      </c>
      <c r="BZ100">
        <v>0.90624300000000002</v>
      </c>
      <c r="CA100">
        <v>2020</v>
      </c>
      <c r="CB100">
        <v>1</v>
      </c>
      <c r="CC100">
        <v>29</v>
      </c>
      <c r="CD100">
        <v>6</v>
      </c>
      <c r="CE100">
        <v>5</v>
      </c>
      <c r="CF100">
        <v>56.989998</v>
      </c>
      <c r="CG100">
        <v>2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0.245254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</row>
    <row r="101" spans="1:105" x14ac:dyDescent="0.25">
      <c r="A101">
        <v>100</v>
      </c>
      <c r="B101" t="s">
        <v>233</v>
      </c>
      <c r="C101">
        <v>58877.259468999997</v>
      </c>
      <c r="D101">
        <v>308.51834100000002</v>
      </c>
      <c r="E101" s="3" t="s">
        <v>113</v>
      </c>
      <c r="F101" s="3" t="s">
        <v>122</v>
      </c>
      <c r="G101">
        <v>-1.864741</v>
      </c>
      <c r="H101">
        <v>198.30157500000001</v>
      </c>
      <c r="I101">
        <v>18.628789999999999</v>
      </c>
      <c r="J101">
        <v>197.86312899999999</v>
      </c>
      <c r="K101">
        <v>18.245812999999998</v>
      </c>
      <c r="L101">
        <v>188.97460899999999</v>
      </c>
      <c r="M101">
        <v>23.774189</v>
      </c>
      <c r="N101">
        <v>57.134621000000003</v>
      </c>
      <c r="O101">
        <v>57.134621000000003</v>
      </c>
      <c r="P101">
        <v>56.128483000000003</v>
      </c>
      <c r="Q101">
        <v>36.762951000000001</v>
      </c>
      <c r="R101">
        <v>1.971298</v>
      </c>
      <c r="S101">
        <v>0.44383400000000001</v>
      </c>
      <c r="T101">
        <v>0.77485199999999999</v>
      </c>
      <c r="U101">
        <v>2.7688739999999998</v>
      </c>
      <c r="V101">
        <v>284.96948200000003</v>
      </c>
      <c r="W101">
        <v>308.51812699999999</v>
      </c>
      <c r="X101">
        <v>122.544861</v>
      </c>
      <c r="Y101" t="s">
        <v>162</v>
      </c>
      <c r="Z101">
        <v>4.0116519999999998</v>
      </c>
      <c r="AA101">
        <v>12.162001</v>
      </c>
      <c r="AB101">
        <v>-0.7</v>
      </c>
      <c r="AC101">
        <v>1.522869</v>
      </c>
      <c r="AD101">
        <v>0.08</v>
      </c>
      <c r="AE101">
        <v>20.052</v>
      </c>
      <c r="AF101">
        <v>0</v>
      </c>
      <c r="AG101">
        <v>102.13969400000001</v>
      </c>
      <c r="AH101">
        <v>17.662447</v>
      </c>
      <c r="AI101">
        <v>239.938019</v>
      </c>
      <c r="AJ101">
        <v>20.247864</v>
      </c>
      <c r="AK101">
        <v>338.58062699999999</v>
      </c>
      <c r="AL101">
        <v>60.068657000000002</v>
      </c>
      <c r="AM101">
        <v>30.043652000000002</v>
      </c>
      <c r="AN101">
        <v>30.966324</v>
      </c>
      <c r="AO101">
        <v>-1.891812</v>
      </c>
      <c r="AP101">
        <v>51.997093</v>
      </c>
      <c r="AQ101">
        <v>89.551544000000007</v>
      </c>
      <c r="AR101">
        <v>170.73594700000001</v>
      </c>
      <c r="AS101">
        <v>94.982230999999999</v>
      </c>
      <c r="AT101">
        <v>21.829678000000001</v>
      </c>
      <c r="AU101">
        <v>340.37707499999999</v>
      </c>
      <c r="AV101">
        <v>58.849578999999999</v>
      </c>
      <c r="AW101">
        <v>-1.8692789999999999</v>
      </c>
      <c r="AX101">
        <v>52.017498000000003</v>
      </c>
      <c r="AY101">
        <v>85.934807000000006</v>
      </c>
      <c r="AZ101">
        <v>171.22636399999999</v>
      </c>
      <c r="BA101">
        <v>96.505095999999995</v>
      </c>
      <c r="BB101">
        <v>21.763957999999999</v>
      </c>
      <c r="BC101">
        <v>4.5707700000000004</v>
      </c>
      <c r="BD101">
        <v>214.01843299999999</v>
      </c>
      <c r="BE101">
        <v>52.707661000000002</v>
      </c>
      <c r="BF101">
        <v>54.005001</v>
      </c>
      <c r="BG101">
        <v>53.495983000000003</v>
      </c>
      <c r="BH101">
        <v>5</v>
      </c>
      <c r="BI101">
        <v>5</v>
      </c>
      <c r="BJ101">
        <v>0</v>
      </c>
      <c r="BK101">
        <v>0</v>
      </c>
      <c r="BL101">
        <v>0.1</v>
      </c>
      <c r="BM101">
        <v>8.9999999999999993E-3</v>
      </c>
      <c r="BN101">
        <v>-1</v>
      </c>
      <c r="BO101">
        <v>3</v>
      </c>
      <c r="BP101">
        <v>1</v>
      </c>
      <c r="BQ101">
        <v>0.10001</v>
      </c>
      <c r="BR101">
        <v>239.824341</v>
      </c>
      <c r="BS101">
        <v>21.923597000000001</v>
      </c>
      <c r="BT101">
        <v>0.31059199999999998</v>
      </c>
      <c r="BU101">
        <v>-1.0518339999999999</v>
      </c>
      <c r="BV101">
        <v>17.424506999999998</v>
      </c>
      <c r="BW101">
        <v>0.56540000000000001</v>
      </c>
      <c r="BX101">
        <v>17.655735</v>
      </c>
      <c r="BY101">
        <v>47.617344000000003</v>
      </c>
      <c r="BZ101">
        <v>0.44734600000000002</v>
      </c>
      <c r="CA101">
        <v>2020</v>
      </c>
      <c r="CB101">
        <v>1</v>
      </c>
      <c r="CC101">
        <v>29</v>
      </c>
      <c r="CD101">
        <v>6</v>
      </c>
      <c r="CE101">
        <v>13</v>
      </c>
      <c r="CF101">
        <v>38.119995000000003</v>
      </c>
      <c r="CG101">
        <v>2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0.50727999999999995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</row>
    <row r="102" spans="1:105" x14ac:dyDescent="0.25">
      <c r="A102">
        <v>101</v>
      </c>
      <c r="B102" t="s">
        <v>233</v>
      </c>
      <c r="C102">
        <v>58877.259469999997</v>
      </c>
      <c r="D102">
        <v>308.51834100000002</v>
      </c>
      <c r="E102" s="3" t="s">
        <v>125</v>
      </c>
      <c r="F102" s="3" t="s">
        <v>143</v>
      </c>
      <c r="G102">
        <v>-2.4524439999999998</v>
      </c>
      <c r="H102">
        <v>197.77079800000001</v>
      </c>
      <c r="I102">
        <v>19.161498999999999</v>
      </c>
      <c r="J102">
        <v>197.388901</v>
      </c>
      <c r="K102">
        <v>18.842390000000002</v>
      </c>
      <c r="L102">
        <v>188.25618</v>
      </c>
      <c r="M102">
        <v>24.130541000000001</v>
      </c>
      <c r="N102">
        <v>62.61195</v>
      </c>
      <c r="O102">
        <v>62.61195</v>
      </c>
      <c r="P102">
        <v>61.710979000000002</v>
      </c>
      <c r="Q102">
        <v>42.056068000000003</v>
      </c>
      <c r="R102">
        <v>27.027014000000001</v>
      </c>
      <c r="S102">
        <v>0.53831300000000004</v>
      </c>
      <c r="T102">
        <v>0.98008200000000001</v>
      </c>
      <c r="U102">
        <v>140.56326300000001</v>
      </c>
      <c r="V102">
        <v>265.18347199999999</v>
      </c>
      <c r="W102">
        <v>308.51809700000001</v>
      </c>
      <c r="X102">
        <v>126.100151</v>
      </c>
      <c r="Y102" t="s">
        <v>162</v>
      </c>
      <c r="Z102">
        <v>4.6989539999999996</v>
      </c>
      <c r="AA102">
        <v>3.4256989999999998</v>
      </c>
      <c r="AB102">
        <v>-2.4</v>
      </c>
      <c r="AC102">
        <v>7.1231489999999997</v>
      </c>
      <c r="AD102">
        <v>0.34</v>
      </c>
      <c r="AE102">
        <v>20.504000000000001</v>
      </c>
      <c r="AF102">
        <v>0</v>
      </c>
      <c r="AG102">
        <v>114.56128699999999</v>
      </c>
      <c r="AH102">
        <v>-18.792038000000002</v>
      </c>
      <c r="AI102">
        <v>238.665955</v>
      </c>
      <c r="AJ102">
        <v>21.006827999999999</v>
      </c>
      <c r="AK102">
        <v>181.07879600000001</v>
      </c>
      <c r="AL102">
        <v>49.504306999999997</v>
      </c>
      <c r="AM102">
        <v>279.67587300000002</v>
      </c>
      <c r="AN102">
        <v>65.597801000000004</v>
      </c>
      <c r="AO102">
        <v>-1.9658059999999999</v>
      </c>
      <c r="AP102">
        <v>51.938965000000003</v>
      </c>
      <c r="AQ102">
        <v>101.222542</v>
      </c>
      <c r="AR102">
        <v>110.99303399999999</v>
      </c>
      <c r="AS102">
        <v>33.157448000000002</v>
      </c>
      <c r="AT102">
        <v>29.410622</v>
      </c>
      <c r="AU102">
        <v>174.83802800000001</v>
      </c>
      <c r="AV102">
        <v>55.538390999999997</v>
      </c>
      <c r="AW102">
        <v>-1.859129</v>
      </c>
      <c r="AX102">
        <v>52.030743000000001</v>
      </c>
      <c r="AY102">
        <v>84.210387999999995</v>
      </c>
      <c r="AZ102">
        <v>93.895988000000003</v>
      </c>
      <c r="BA102">
        <v>40.280597999999998</v>
      </c>
      <c r="BB102">
        <v>35.484371000000003</v>
      </c>
      <c r="BC102">
        <v>21.288063000000001</v>
      </c>
      <c r="BD102">
        <v>215.05435199999999</v>
      </c>
      <c r="BE102">
        <v>53.090733</v>
      </c>
      <c r="BF102">
        <v>52.916649</v>
      </c>
      <c r="BG102">
        <v>52.482826000000003</v>
      </c>
      <c r="BH102">
        <v>18</v>
      </c>
      <c r="BI102">
        <v>18</v>
      </c>
      <c r="BJ102">
        <v>0</v>
      </c>
      <c r="BK102">
        <v>18</v>
      </c>
      <c r="BL102">
        <v>1.5599999999999999E-2</v>
      </c>
      <c r="BM102">
        <v>9.4000000000000004E-3</v>
      </c>
      <c r="BN102">
        <v>-1</v>
      </c>
      <c r="BO102">
        <v>3</v>
      </c>
      <c r="BP102">
        <v>1</v>
      </c>
      <c r="BQ102">
        <v>2.8299989999999999</v>
      </c>
      <c r="BR102">
        <v>143.78514100000001</v>
      </c>
      <c r="BS102">
        <v>63.875388999999998</v>
      </c>
      <c r="BT102">
        <v>1.1039999999999999E-2</v>
      </c>
      <c r="BU102">
        <v>69.874336</v>
      </c>
      <c r="BV102">
        <v>0.57843999999999995</v>
      </c>
      <c r="BW102">
        <v>0.48188500000000001</v>
      </c>
      <c r="BX102">
        <v>0.112209</v>
      </c>
      <c r="BY102">
        <v>0.193303</v>
      </c>
      <c r="BZ102">
        <v>0.99005799999999999</v>
      </c>
      <c r="CA102">
        <v>2020</v>
      </c>
      <c r="CB102">
        <v>1</v>
      </c>
      <c r="CC102">
        <v>29</v>
      </c>
      <c r="CD102">
        <v>6</v>
      </c>
      <c r="CE102">
        <v>13</v>
      </c>
      <c r="CF102">
        <v>38.18</v>
      </c>
      <c r="CG102">
        <v>2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3.6999999999999998E-2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 x14ac:dyDescent="0.25">
      <c r="A103">
        <v>102</v>
      </c>
      <c r="B103" t="s">
        <v>234</v>
      </c>
      <c r="C103">
        <v>58879.076882000001</v>
      </c>
      <c r="D103">
        <v>310.36483800000002</v>
      </c>
      <c r="E103" s="2" t="s">
        <v>107</v>
      </c>
      <c r="F103" s="2" t="s">
        <v>122</v>
      </c>
      <c r="G103">
        <v>-1.565761</v>
      </c>
      <c r="H103">
        <v>189.11003099999999</v>
      </c>
      <c r="I103">
        <v>-6.8019809999999996</v>
      </c>
      <c r="J103">
        <v>189.10972599999999</v>
      </c>
      <c r="K103">
        <v>-7.3105909999999996</v>
      </c>
      <c r="L103">
        <v>191.24363700000001</v>
      </c>
      <c r="M103">
        <v>-3.1121349999999999</v>
      </c>
      <c r="N103">
        <v>66.052643000000003</v>
      </c>
      <c r="O103">
        <v>66.052643000000003</v>
      </c>
      <c r="P103">
        <v>64.930396999999999</v>
      </c>
      <c r="Q103">
        <v>41.124847000000003</v>
      </c>
      <c r="R103">
        <v>8.0740079999999992</v>
      </c>
      <c r="S103">
        <v>0.39786100000000002</v>
      </c>
      <c r="T103">
        <v>0.95072299999999998</v>
      </c>
      <c r="U103">
        <v>22.951364999999999</v>
      </c>
      <c r="V103">
        <v>102.89254800000001</v>
      </c>
      <c r="W103">
        <v>130.367233</v>
      </c>
      <c r="X103">
        <v>172.395218</v>
      </c>
      <c r="Y103" t="s">
        <v>114</v>
      </c>
      <c r="Z103">
        <v>-1</v>
      </c>
      <c r="AA103">
        <v>-1</v>
      </c>
      <c r="AB103">
        <v>-1.4</v>
      </c>
      <c r="AC103">
        <v>7.0063969999999998</v>
      </c>
      <c r="AD103">
        <v>0.2</v>
      </c>
      <c r="AE103">
        <v>34.296000999999997</v>
      </c>
      <c r="AF103">
        <v>0</v>
      </c>
      <c r="AG103">
        <v>98.727196000000006</v>
      </c>
      <c r="AH103">
        <v>-3.2062629999999999</v>
      </c>
      <c r="AI103">
        <v>298.73834199999999</v>
      </c>
      <c r="AJ103">
        <v>-23.038374000000001</v>
      </c>
      <c r="AK103">
        <v>175.602859</v>
      </c>
      <c r="AL103">
        <v>76.141518000000005</v>
      </c>
      <c r="AM103">
        <v>11.421504000000001</v>
      </c>
      <c r="AN103">
        <v>63.247810000000001</v>
      </c>
      <c r="AO103">
        <v>356.91372699999999</v>
      </c>
      <c r="AP103">
        <v>51.115077999999997</v>
      </c>
      <c r="AQ103">
        <v>96.939644000000001</v>
      </c>
      <c r="AR103">
        <v>108.29884300000001</v>
      </c>
      <c r="AS103">
        <v>83.323143000000002</v>
      </c>
      <c r="AT103">
        <v>82.575821000000005</v>
      </c>
      <c r="AU103">
        <v>162.52156099999999</v>
      </c>
      <c r="AV103">
        <v>82.77037</v>
      </c>
      <c r="AW103">
        <v>356.80825800000002</v>
      </c>
      <c r="AX103">
        <v>51.197918000000001</v>
      </c>
      <c r="AY103">
        <v>91.402359000000004</v>
      </c>
      <c r="AZ103">
        <v>107.566109</v>
      </c>
      <c r="BA103">
        <v>90.329536000000004</v>
      </c>
      <c r="BB103">
        <v>86.729774000000006</v>
      </c>
      <c r="BC103">
        <v>13.210528999999999</v>
      </c>
      <c r="BD103">
        <v>141.202652</v>
      </c>
      <c r="BE103">
        <v>24.628975000000001</v>
      </c>
      <c r="BF103">
        <v>24.908442999999998</v>
      </c>
      <c r="BG103">
        <v>24.442654000000001</v>
      </c>
      <c r="BH103">
        <v>11</v>
      </c>
      <c r="BI103">
        <v>11</v>
      </c>
      <c r="BJ103">
        <v>0</v>
      </c>
      <c r="BK103">
        <v>0</v>
      </c>
      <c r="BL103">
        <v>0.1</v>
      </c>
      <c r="BM103">
        <v>2.691E-2</v>
      </c>
      <c r="BN103">
        <v>-1</v>
      </c>
      <c r="BO103">
        <v>3</v>
      </c>
      <c r="BP103">
        <v>1</v>
      </c>
      <c r="BQ103">
        <v>9.0001999999999999E-2</v>
      </c>
      <c r="BR103">
        <v>267.49429300000003</v>
      </c>
      <c r="BS103">
        <v>86.746398999999997</v>
      </c>
      <c r="BT103">
        <v>0.13413900000000001</v>
      </c>
      <c r="BU103">
        <v>36.243935</v>
      </c>
      <c r="BV103">
        <v>5.2232380000000003</v>
      </c>
      <c r="BW103">
        <v>0.50861000000000001</v>
      </c>
      <c r="BX103">
        <v>1.396099</v>
      </c>
      <c r="BY103">
        <v>1.3983760000000001</v>
      </c>
      <c r="BZ103">
        <v>0.95405700000000004</v>
      </c>
      <c r="CA103">
        <v>2020</v>
      </c>
      <c r="CB103">
        <v>1</v>
      </c>
      <c r="CC103">
        <v>31</v>
      </c>
      <c r="CD103">
        <v>1</v>
      </c>
      <c r="CE103">
        <v>50</v>
      </c>
      <c r="CF103">
        <v>42.599997999999999</v>
      </c>
      <c r="CG103">
        <v>2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0.12385400000000001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</row>
    <row r="104" spans="1:105" x14ac:dyDescent="0.25">
      <c r="A104">
        <v>103</v>
      </c>
      <c r="B104" t="s">
        <v>235</v>
      </c>
      <c r="C104">
        <v>58879.930740000003</v>
      </c>
      <c r="D104">
        <v>311.23199499999998</v>
      </c>
      <c r="E104" s="2" t="s">
        <v>125</v>
      </c>
      <c r="F104" s="2" t="s">
        <v>122</v>
      </c>
      <c r="G104">
        <v>-0.54894699999999996</v>
      </c>
      <c r="H104">
        <v>125.216354</v>
      </c>
      <c r="I104">
        <v>23.669862999999999</v>
      </c>
      <c r="J104">
        <v>125.522491</v>
      </c>
      <c r="K104">
        <v>21.480024</v>
      </c>
      <c r="L104">
        <v>122.75134300000001</v>
      </c>
      <c r="M104">
        <v>1.990794</v>
      </c>
      <c r="N104">
        <v>22.027096</v>
      </c>
      <c r="O104">
        <v>22.027096</v>
      </c>
      <c r="P104">
        <v>18.872477</v>
      </c>
      <c r="Q104">
        <v>37.813690000000001</v>
      </c>
      <c r="R104">
        <v>2.3908469999999999</v>
      </c>
      <c r="S104">
        <v>0.698434</v>
      </c>
      <c r="T104">
        <v>0.70787199999999995</v>
      </c>
      <c r="U104">
        <v>3.698302</v>
      </c>
      <c r="V104">
        <v>252.677719</v>
      </c>
      <c r="W104">
        <v>311.24774200000002</v>
      </c>
      <c r="X104">
        <v>1.1381460000000001</v>
      </c>
      <c r="Y104" t="s">
        <v>213</v>
      </c>
      <c r="Z104">
        <v>4.4409320000000001</v>
      </c>
      <c r="AA104">
        <v>27.413550999999998</v>
      </c>
      <c r="AB104">
        <v>-0.8</v>
      </c>
      <c r="AC104">
        <v>4.3009719999999998</v>
      </c>
      <c r="AD104">
        <v>0.34</v>
      </c>
      <c r="AE104">
        <v>12.673999999999999</v>
      </c>
      <c r="AF104">
        <v>0</v>
      </c>
      <c r="AG104">
        <v>44.259506000000002</v>
      </c>
      <c r="AH104">
        <v>-19.726542999999999</v>
      </c>
      <c r="AI104">
        <v>299.84832799999998</v>
      </c>
      <c r="AJ104">
        <v>-22.069887000000001</v>
      </c>
      <c r="AK104">
        <v>55.086094000000003</v>
      </c>
      <c r="AL104">
        <v>69.944237000000001</v>
      </c>
      <c r="AM104">
        <v>327.46460000000002</v>
      </c>
      <c r="AN104">
        <v>61.442757</v>
      </c>
      <c r="AO104">
        <v>358.34262100000001</v>
      </c>
      <c r="AP104">
        <v>52.193942999999997</v>
      </c>
      <c r="AQ104">
        <v>79.830855999999997</v>
      </c>
      <c r="AR104">
        <v>90.770759999999996</v>
      </c>
      <c r="AS104">
        <v>61.061343999999998</v>
      </c>
      <c r="AT104">
        <v>58.432116999999998</v>
      </c>
      <c r="AU104">
        <v>42.459727999999998</v>
      </c>
      <c r="AV104">
        <v>70.264472999999995</v>
      </c>
      <c r="AW104">
        <v>358.30673200000001</v>
      </c>
      <c r="AX104">
        <v>52.222270999999999</v>
      </c>
      <c r="AY104">
        <v>73.536345999999995</v>
      </c>
      <c r="AZ104">
        <v>87.393044000000003</v>
      </c>
      <c r="BA104">
        <v>65.362312000000003</v>
      </c>
      <c r="BB104">
        <v>62.245475999999996</v>
      </c>
      <c r="BC104">
        <v>7.4892130000000003</v>
      </c>
      <c r="BD104">
        <v>141.89572100000001</v>
      </c>
      <c r="BE104">
        <v>57.035407999999997</v>
      </c>
      <c r="BF104">
        <v>57.422333000000002</v>
      </c>
      <c r="BG104">
        <v>55.306896000000002</v>
      </c>
      <c r="BH104">
        <v>18</v>
      </c>
      <c r="BI104">
        <v>17</v>
      </c>
      <c r="BJ104">
        <v>5.555555</v>
      </c>
      <c r="BK104">
        <v>50</v>
      </c>
      <c r="BL104">
        <v>5.0259999999999999E-2</v>
      </c>
      <c r="BM104">
        <v>1.8169999999999999E-2</v>
      </c>
      <c r="BN104">
        <v>-1</v>
      </c>
      <c r="BO104">
        <v>3</v>
      </c>
      <c r="BP104">
        <v>1</v>
      </c>
      <c r="BQ104">
        <v>5.9998000000000003E-2</v>
      </c>
      <c r="BR104">
        <v>98.432700999999994</v>
      </c>
      <c r="BS104">
        <v>76.801254</v>
      </c>
      <c r="BT104">
        <v>2.2599999999999999E-4</v>
      </c>
      <c r="BU104">
        <v>92.293159000000003</v>
      </c>
      <c r="BV104">
        <v>3.0226700000000002</v>
      </c>
      <c r="BW104">
        <v>2.208005</v>
      </c>
      <c r="BX104">
        <v>0.85138100000000005</v>
      </c>
      <c r="BY104">
        <v>0.96206599999999998</v>
      </c>
      <c r="BZ104">
        <v>0.95634600000000003</v>
      </c>
      <c r="CA104">
        <v>2020</v>
      </c>
      <c r="CB104">
        <v>1</v>
      </c>
      <c r="CC104">
        <v>31</v>
      </c>
      <c r="CD104">
        <v>22</v>
      </c>
      <c r="CE104">
        <v>20</v>
      </c>
      <c r="CF104">
        <v>15.930004</v>
      </c>
      <c r="CG104">
        <v>2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0.41826200000000002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</row>
    <row r="105" spans="1:105" x14ac:dyDescent="0.25">
      <c r="A105">
        <v>104</v>
      </c>
      <c r="B105" t="s">
        <v>236</v>
      </c>
      <c r="C105">
        <v>58880.008630999997</v>
      </c>
      <c r="D105">
        <v>311.31106599999998</v>
      </c>
      <c r="E105" s="3" t="s">
        <v>107</v>
      </c>
      <c r="F105" s="3" t="s">
        <v>122</v>
      </c>
      <c r="G105">
        <v>-1.056832</v>
      </c>
      <c r="H105">
        <v>210.44206199999999</v>
      </c>
      <c r="I105">
        <v>23.511527999999998</v>
      </c>
      <c r="J105">
        <v>210.80012500000001</v>
      </c>
      <c r="K105">
        <v>23.192778000000001</v>
      </c>
      <c r="L105">
        <v>199.216049</v>
      </c>
      <c r="M105">
        <v>33.266570999999999</v>
      </c>
      <c r="N105">
        <v>64.213843999999995</v>
      </c>
      <c r="O105">
        <v>64.213843999999995</v>
      </c>
      <c r="P105">
        <v>62.963261000000003</v>
      </c>
      <c r="Q105">
        <v>43.819302</v>
      </c>
      <c r="R105">
        <v>-7.4409349999999996</v>
      </c>
      <c r="S105">
        <v>0.79799200000000003</v>
      </c>
      <c r="T105">
        <v>1.1072439999999999</v>
      </c>
      <c r="U105">
        <v>0</v>
      </c>
      <c r="V105">
        <v>230.330139</v>
      </c>
      <c r="W105">
        <v>311.31091300000003</v>
      </c>
      <c r="X105">
        <v>118.238281</v>
      </c>
      <c r="Y105" t="s">
        <v>114</v>
      </c>
      <c r="Z105">
        <v>-1</v>
      </c>
      <c r="AA105">
        <v>-1</v>
      </c>
      <c r="AB105">
        <v>0.4</v>
      </c>
      <c r="AC105">
        <v>4.3578250000000001</v>
      </c>
      <c r="AD105">
        <v>0.28000000000000003</v>
      </c>
      <c r="AE105">
        <v>15.741</v>
      </c>
      <c r="AF105">
        <v>0</v>
      </c>
      <c r="AG105">
        <v>107.73204800000001</v>
      </c>
      <c r="AH105">
        <v>26.826891</v>
      </c>
      <c r="AI105">
        <v>6.3158110000000001</v>
      </c>
      <c r="AJ105">
        <v>-37.538238999999997</v>
      </c>
      <c r="AK105">
        <v>266.76806599999998</v>
      </c>
      <c r="AL105">
        <v>61.561138</v>
      </c>
      <c r="AM105">
        <v>21.807556000000002</v>
      </c>
      <c r="AN105">
        <v>27.537621999999999</v>
      </c>
      <c r="AO105">
        <v>357.73281900000001</v>
      </c>
      <c r="AP105">
        <v>52.149554999999999</v>
      </c>
      <c r="AQ105">
        <v>95.366981999999993</v>
      </c>
      <c r="AR105">
        <v>200.653763</v>
      </c>
      <c r="AS105">
        <v>53.635520999999997</v>
      </c>
      <c r="AT105">
        <v>53.021163999999999</v>
      </c>
      <c r="AU105">
        <v>275.79013099999997</v>
      </c>
      <c r="AV105">
        <v>62.664985999999999</v>
      </c>
      <c r="AW105">
        <v>357.49975599999999</v>
      </c>
      <c r="AX105">
        <v>52.132275</v>
      </c>
      <c r="AY105">
        <v>87.779015000000001</v>
      </c>
      <c r="AZ105">
        <v>190.544006</v>
      </c>
      <c r="BA105">
        <v>57.993343000000003</v>
      </c>
      <c r="BB105">
        <v>57.271610000000003</v>
      </c>
      <c r="BC105">
        <v>17.979876999999998</v>
      </c>
      <c r="BD105">
        <v>83.201881</v>
      </c>
      <c r="BE105">
        <v>24.821055999999999</v>
      </c>
      <c r="BF105">
        <v>24.041998</v>
      </c>
      <c r="BG105">
        <v>23.584693999999999</v>
      </c>
      <c r="BH105">
        <v>15</v>
      </c>
      <c r="BI105">
        <v>7</v>
      </c>
      <c r="BJ105">
        <v>53.333331999999999</v>
      </c>
      <c r="BK105">
        <v>0</v>
      </c>
      <c r="BL105">
        <v>0.1</v>
      </c>
      <c r="BM105">
        <v>1.8169999999999999E-2</v>
      </c>
      <c r="BN105">
        <v>-1</v>
      </c>
      <c r="BO105">
        <v>3</v>
      </c>
      <c r="BP105">
        <v>1</v>
      </c>
      <c r="BQ105">
        <v>0.11000699999999999</v>
      </c>
      <c r="BR105">
        <v>267.49429300000003</v>
      </c>
      <c r="BS105">
        <v>82.769379000000001</v>
      </c>
      <c r="BT105">
        <v>3.77E-4</v>
      </c>
      <c r="BU105">
        <v>10.817272000000001</v>
      </c>
      <c r="BV105">
        <v>6.597702</v>
      </c>
      <c r="BW105">
        <v>0.45789299999999999</v>
      </c>
      <c r="BX105">
        <v>1.404388</v>
      </c>
      <c r="BY105">
        <v>1.6694199999999999</v>
      </c>
      <c r="BZ105">
        <v>0.39804400000000001</v>
      </c>
      <c r="CA105">
        <v>2020</v>
      </c>
      <c r="CB105">
        <v>2</v>
      </c>
      <c r="CC105">
        <v>1</v>
      </c>
      <c r="CD105">
        <v>0</v>
      </c>
      <c r="CE105">
        <v>12</v>
      </c>
      <c r="CF105">
        <v>25.719995000000001</v>
      </c>
      <c r="CG105">
        <v>2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-0.13439200000000001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</row>
    <row r="106" spans="1:105" x14ac:dyDescent="0.25">
      <c r="A106">
        <v>105</v>
      </c>
      <c r="B106" t="s">
        <v>237</v>
      </c>
      <c r="C106">
        <v>58882.182782999997</v>
      </c>
      <c r="D106">
        <v>313.51782200000002</v>
      </c>
      <c r="E106" s="2" t="s">
        <v>125</v>
      </c>
      <c r="F106" s="2" t="s">
        <v>106</v>
      </c>
      <c r="G106">
        <v>-0.61155499999999996</v>
      </c>
      <c r="H106">
        <v>205.196335</v>
      </c>
      <c r="I106">
        <v>7.4961000000000002</v>
      </c>
      <c r="J106">
        <v>204.97259500000001</v>
      </c>
      <c r="K106">
        <v>7.0587090000000003</v>
      </c>
      <c r="L106">
        <v>200.454239</v>
      </c>
      <c r="M106">
        <v>16.223994999999999</v>
      </c>
      <c r="N106">
        <v>58.304774999999999</v>
      </c>
      <c r="O106">
        <v>58.304774999999999</v>
      </c>
      <c r="P106">
        <v>57.183883999999999</v>
      </c>
      <c r="Q106">
        <v>33.462490000000003</v>
      </c>
      <c r="R106">
        <v>1.3033870000000001</v>
      </c>
      <c r="S106">
        <v>0.43944</v>
      </c>
      <c r="T106">
        <v>0.66284799999999999</v>
      </c>
      <c r="U106">
        <v>1.4886239999999999</v>
      </c>
      <c r="V106">
        <v>292.95565800000003</v>
      </c>
      <c r="W106">
        <v>313.51745599999998</v>
      </c>
      <c r="X106">
        <v>141.79809599999999</v>
      </c>
      <c r="Y106" t="s">
        <v>238</v>
      </c>
      <c r="Z106">
        <v>4.6706529999999997</v>
      </c>
      <c r="AA106">
        <v>9.2463339999999992</v>
      </c>
      <c r="AB106">
        <v>-0.2</v>
      </c>
      <c r="AC106">
        <v>3.0979909999999999</v>
      </c>
      <c r="AD106">
        <v>0.12</v>
      </c>
      <c r="AE106">
        <v>25.236000000000001</v>
      </c>
      <c r="AF106">
        <v>0</v>
      </c>
      <c r="AG106">
        <v>121.81268300000001</v>
      </c>
      <c r="AH106">
        <v>-41.206927999999998</v>
      </c>
      <c r="AI106">
        <v>277.58373999999998</v>
      </c>
      <c r="AJ106">
        <v>-7.6370750000000003</v>
      </c>
      <c r="AK106">
        <v>140.41429099999999</v>
      </c>
      <c r="AL106">
        <v>47.264750999999997</v>
      </c>
      <c r="AM106">
        <v>285.59579500000001</v>
      </c>
      <c r="AN106">
        <v>53.919803999999999</v>
      </c>
      <c r="AO106">
        <v>-2.3129930000000001</v>
      </c>
      <c r="AP106">
        <v>52.040367000000003</v>
      </c>
      <c r="AQ106">
        <v>98.973724000000004</v>
      </c>
      <c r="AR106">
        <v>122.118538</v>
      </c>
      <c r="AS106">
        <v>67.512505000000004</v>
      </c>
      <c r="AT106">
        <v>12.557520999999999</v>
      </c>
      <c r="AU106">
        <v>135.924149</v>
      </c>
      <c r="AV106">
        <v>47.921314000000002</v>
      </c>
      <c r="AW106">
        <v>-2.3283839999999998</v>
      </c>
      <c r="AX106">
        <v>52.083111000000002</v>
      </c>
      <c r="AY106">
        <v>94.039963</v>
      </c>
      <c r="AZ106">
        <v>119.617287</v>
      </c>
      <c r="BA106">
        <v>70.610496999999995</v>
      </c>
      <c r="BB106">
        <v>12.824531</v>
      </c>
      <c r="BC106">
        <v>6.9965729999999997</v>
      </c>
      <c r="BD106">
        <v>167.20361299999999</v>
      </c>
      <c r="BE106">
        <v>44.727997000000002</v>
      </c>
      <c r="BF106">
        <v>45.026755999999999</v>
      </c>
      <c r="BG106">
        <v>44.619338999999997</v>
      </c>
      <c r="BH106">
        <v>7</v>
      </c>
      <c r="BI106">
        <v>7</v>
      </c>
      <c r="BJ106">
        <v>0</v>
      </c>
      <c r="BK106">
        <v>22</v>
      </c>
      <c r="BL106">
        <v>2.2159999999999999E-2</v>
      </c>
      <c r="BM106">
        <v>1.175E-2</v>
      </c>
      <c r="BN106">
        <v>-1</v>
      </c>
      <c r="BO106">
        <v>3</v>
      </c>
      <c r="BP106">
        <v>1</v>
      </c>
      <c r="BQ106">
        <v>5.9998000000000003E-2</v>
      </c>
      <c r="BR106">
        <v>105.113434</v>
      </c>
      <c r="BS106">
        <v>13.610018999999999</v>
      </c>
      <c r="BT106">
        <v>3.4114070000000001</v>
      </c>
      <c r="BU106">
        <v>34.842956999999998</v>
      </c>
      <c r="BV106">
        <v>2.2524839999999999</v>
      </c>
      <c r="BW106">
        <v>0.490477</v>
      </c>
      <c r="BX106">
        <v>2.5765829999999998</v>
      </c>
      <c r="BY106">
        <v>11.608010999999999</v>
      </c>
      <c r="BZ106">
        <v>0.68640800000000002</v>
      </c>
      <c r="CA106">
        <v>2020</v>
      </c>
      <c r="CB106">
        <v>2</v>
      </c>
      <c r="CC106">
        <v>3</v>
      </c>
      <c r="CD106">
        <v>4</v>
      </c>
      <c r="CE106">
        <v>23</v>
      </c>
      <c r="CF106">
        <v>12.480001</v>
      </c>
      <c r="CG106">
        <v>2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0.76723200000000003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</row>
    <row r="107" spans="1:105" x14ac:dyDescent="0.25">
      <c r="A107">
        <v>106</v>
      </c>
      <c r="B107" t="s">
        <v>239</v>
      </c>
      <c r="C107">
        <v>58882.245907999997</v>
      </c>
      <c r="D107">
        <v>313.58184799999998</v>
      </c>
      <c r="E107" s="3" t="s">
        <v>125</v>
      </c>
      <c r="F107" s="3" t="s">
        <v>106</v>
      </c>
      <c r="G107">
        <v>-1.5417270000000001</v>
      </c>
      <c r="H107">
        <v>212.99148600000001</v>
      </c>
      <c r="I107">
        <v>25.324594000000001</v>
      </c>
      <c r="J107">
        <v>212.64691199999999</v>
      </c>
      <c r="K107">
        <v>25.058012000000002</v>
      </c>
      <c r="L107">
        <v>200.15190100000001</v>
      </c>
      <c r="M107">
        <v>35.659126000000001</v>
      </c>
      <c r="N107">
        <v>58.764865999999998</v>
      </c>
      <c r="O107">
        <v>58.764865999999998</v>
      </c>
      <c r="P107">
        <v>57.725098000000003</v>
      </c>
      <c r="Q107">
        <v>40.442326000000001</v>
      </c>
      <c r="R107">
        <v>5.3839420000000002</v>
      </c>
      <c r="S107">
        <v>0.76408399999999999</v>
      </c>
      <c r="T107">
        <v>0.85808099999999998</v>
      </c>
      <c r="U107">
        <v>12.497560999999999</v>
      </c>
      <c r="V107">
        <v>239.10363799999999</v>
      </c>
      <c r="W107">
        <v>313.58175699999998</v>
      </c>
      <c r="X107">
        <v>110.853516</v>
      </c>
      <c r="Y107" t="s">
        <v>114</v>
      </c>
      <c r="Z107">
        <v>-1</v>
      </c>
      <c r="AA107">
        <v>-1</v>
      </c>
      <c r="AB107">
        <v>-0.6</v>
      </c>
      <c r="AC107">
        <v>4.3218389999999998</v>
      </c>
      <c r="AD107">
        <v>0.24</v>
      </c>
      <c r="AE107">
        <v>17.938998999999999</v>
      </c>
      <c r="AF107">
        <v>0</v>
      </c>
      <c r="AG107">
        <v>345.247162</v>
      </c>
      <c r="AH107">
        <v>54.864409999999999</v>
      </c>
      <c r="AI107">
        <v>258.41345200000001</v>
      </c>
      <c r="AJ107">
        <v>6.6015309999999996</v>
      </c>
      <c r="AK107">
        <v>151.35217299999999</v>
      </c>
      <c r="AL107">
        <v>34.338813999999999</v>
      </c>
      <c r="AM107">
        <v>278.042755</v>
      </c>
      <c r="AN107">
        <v>39.053406000000003</v>
      </c>
      <c r="AO107">
        <v>-3.063504</v>
      </c>
      <c r="AP107">
        <v>52.014679000000001</v>
      </c>
      <c r="AQ107">
        <v>100.72172500000001</v>
      </c>
      <c r="AR107">
        <v>158.28064000000001</v>
      </c>
      <c r="AS107">
        <v>53.428631000000003</v>
      </c>
      <c r="AT107">
        <v>15.730055999999999</v>
      </c>
      <c r="AU107">
        <v>146.20915199999999</v>
      </c>
      <c r="AV107">
        <v>33.633724000000001</v>
      </c>
      <c r="AW107">
        <v>-3.046367</v>
      </c>
      <c r="AX107">
        <v>52.070079999999997</v>
      </c>
      <c r="AY107">
        <v>88.158028000000002</v>
      </c>
      <c r="AZ107">
        <v>150.30481</v>
      </c>
      <c r="BA107">
        <v>57.750473</v>
      </c>
      <c r="BB107">
        <v>16.588228000000001</v>
      </c>
      <c r="BC107">
        <v>14.103567999999999</v>
      </c>
      <c r="BD107">
        <v>190.24722299999999</v>
      </c>
      <c r="BE107">
        <v>62.933643000000004</v>
      </c>
      <c r="BF107">
        <v>62.854590999999999</v>
      </c>
      <c r="BG107">
        <v>62.539833000000002</v>
      </c>
      <c r="BH107">
        <v>13</v>
      </c>
      <c r="BI107">
        <v>12</v>
      </c>
      <c r="BJ107">
        <v>7.6923069999999996</v>
      </c>
      <c r="BK107">
        <v>20</v>
      </c>
      <c r="BL107">
        <v>2.068E-2</v>
      </c>
      <c r="BM107">
        <v>2.1649999999999999E-2</v>
      </c>
      <c r="BN107">
        <v>-1</v>
      </c>
      <c r="BO107">
        <v>3</v>
      </c>
      <c r="BP107">
        <v>1</v>
      </c>
      <c r="BQ107">
        <v>0.120005</v>
      </c>
      <c r="BR107">
        <v>105.113434</v>
      </c>
      <c r="BS107">
        <v>19.728722000000001</v>
      </c>
      <c r="BT107">
        <v>6.7900000000000002E-4</v>
      </c>
      <c r="BU107">
        <v>70.637878000000001</v>
      </c>
      <c r="BV107">
        <v>2.3488329999999999</v>
      </c>
      <c r="BW107">
        <v>0.41022700000000001</v>
      </c>
      <c r="BX107">
        <v>1.0563009999999999</v>
      </c>
      <c r="BY107">
        <v>3.6999409999999999</v>
      </c>
      <c r="BZ107">
        <v>0.87167799999999995</v>
      </c>
      <c r="CA107">
        <v>2020</v>
      </c>
      <c r="CB107">
        <v>2</v>
      </c>
      <c r="CC107">
        <v>3</v>
      </c>
      <c r="CD107">
        <v>5</v>
      </c>
      <c r="CE107">
        <v>54</v>
      </c>
      <c r="CF107">
        <v>6.4399990000000003</v>
      </c>
      <c r="CG107">
        <v>2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0.18573799999999999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</row>
    <row r="108" spans="1:105" x14ac:dyDescent="0.25">
      <c r="A108">
        <v>107</v>
      </c>
      <c r="B108" t="s">
        <v>240</v>
      </c>
      <c r="C108">
        <v>58882.252086</v>
      </c>
      <c r="D108">
        <v>313.58813500000002</v>
      </c>
      <c r="E108" s="3" t="s">
        <v>113</v>
      </c>
      <c r="F108" s="3" t="s">
        <v>106</v>
      </c>
      <c r="G108">
        <v>-0.96381700000000003</v>
      </c>
      <c r="H108">
        <v>205.97676100000001</v>
      </c>
      <c r="I108">
        <v>48.551918000000001</v>
      </c>
      <c r="J108">
        <v>205.22820999999999</v>
      </c>
      <c r="K108">
        <v>48.412627999999998</v>
      </c>
      <c r="L108">
        <v>176.387146</v>
      </c>
      <c r="M108">
        <v>53.012146000000001</v>
      </c>
      <c r="N108">
        <v>45.856098000000003</v>
      </c>
      <c r="O108">
        <v>45.856098000000003</v>
      </c>
      <c r="P108">
        <v>44.524310999999997</v>
      </c>
      <c r="Q108">
        <v>42.261631000000001</v>
      </c>
      <c r="R108">
        <v>62.003608999999997</v>
      </c>
      <c r="S108">
        <v>0.77626399999999995</v>
      </c>
      <c r="T108">
        <v>0.98748000000000002</v>
      </c>
      <c r="U108">
        <v>488.42761200000001</v>
      </c>
      <c r="V108">
        <v>235.063232</v>
      </c>
      <c r="W108">
        <v>313.58822600000002</v>
      </c>
      <c r="X108">
        <v>71.333884999999995</v>
      </c>
      <c r="Y108" t="s">
        <v>114</v>
      </c>
      <c r="Z108">
        <v>-1</v>
      </c>
      <c r="AA108">
        <v>-1</v>
      </c>
      <c r="AB108">
        <v>-0.1</v>
      </c>
      <c r="AC108">
        <v>5.1243129999999999</v>
      </c>
      <c r="AD108">
        <v>0.34</v>
      </c>
      <c r="AE108">
        <v>15.045999999999999</v>
      </c>
      <c r="AF108">
        <v>0</v>
      </c>
      <c r="AG108">
        <v>121.663719</v>
      </c>
      <c r="AH108">
        <v>-5.001239</v>
      </c>
      <c r="AI108">
        <v>193.78929099999999</v>
      </c>
      <c r="AJ108">
        <v>36.805782000000001</v>
      </c>
      <c r="AK108">
        <v>49.871284000000003</v>
      </c>
      <c r="AL108">
        <v>74.354088000000004</v>
      </c>
      <c r="AM108">
        <v>356.80337500000002</v>
      </c>
      <c r="AN108">
        <v>35.474769999999999</v>
      </c>
      <c r="AO108">
        <v>-3.0439530000000001</v>
      </c>
      <c r="AP108">
        <v>51.983490000000003</v>
      </c>
      <c r="AQ108">
        <v>89.850821999999994</v>
      </c>
      <c r="AR108">
        <v>152.919983</v>
      </c>
      <c r="AS108">
        <v>56.043529999999997</v>
      </c>
      <c r="AT108">
        <v>39.688515000000002</v>
      </c>
      <c r="AU108">
        <v>45.155681999999999</v>
      </c>
      <c r="AV108">
        <v>69.439728000000002</v>
      </c>
      <c r="AW108">
        <v>-3.0064540000000002</v>
      </c>
      <c r="AX108">
        <v>51.988990999999999</v>
      </c>
      <c r="AY108">
        <v>74.494156000000004</v>
      </c>
      <c r="AZ108">
        <v>144.79006999999999</v>
      </c>
      <c r="BA108">
        <v>61.167839000000001</v>
      </c>
      <c r="BB108">
        <v>42.413119999999999</v>
      </c>
      <c r="BC108">
        <v>15.591073</v>
      </c>
      <c r="BD108">
        <v>254.72219799999999</v>
      </c>
      <c r="BE108">
        <v>80.137687999999997</v>
      </c>
      <c r="BF108">
        <v>80.311592000000005</v>
      </c>
      <c r="BG108">
        <v>79.797736999999998</v>
      </c>
      <c r="BH108">
        <v>18</v>
      </c>
      <c r="BI108">
        <v>16</v>
      </c>
      <c r="BJ108">
        <v>11.111110999999999</v>
      </c>
      <c r="BK108">
        <v>0</v>
      </c>
      <c r="BL108">
        <v>0.1</v>
      </c>
      <c r="BM108">
        <v>9.1400000000000006E-3</v>
      </c>
      <c r="BN108">
        <v>-1</v>
      </c>
      <c r="BO108">
        <v>3</v>
      </c>
      <c r="BP108">
        <v>1</v>
      </c>
      <c r="BQ108">
        <v>0.17999299999999999</v>
      </c>
      <c r="BR108">
        <v>135.36303699999999</v>
      </c>
      <c r="BS108">
        <v>50.346066</v>
      </c>
      <c r="BT108">
        <v>6.6E-4</v>
      </c>
      <c r="BU108">
        <v>43.718547999999998</v>
      </c>
      <c r="BV108">
        <v>0.33823999999999999</v>
      </c>
      <c r="BW108">
        <v>0.51535600000000004</v>
      </c>
      <c r="BX108">
        <v>1.583809</v>
      </c>
      <c r="BY108">
        <v>2.3482219999999998</v>
      </c>
      <c r="BZ108">
        <v>0.90510999999999997</v>
      </c>
      <c r="CA108">
        <v>2020</v>
      </c>
      <c r="CB108">
        <v>2</v>
      </c>
      <c r="CC108">
        <v>3</v>
      </c>
      <c r="CD108">
        <v>6</v>
      </c>
      <c r="CE108">
        <v>3</v>
      </c>
      <c r="CF108">
        <v>0.27000400000000002</v>
      </c>
      <c r="CG108">
        <v>2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1.6128E-2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</row>
    <row r="109" spans="1:105" x14ac:dyDescent="0.25">
      <c r="A109">
        <v>108</v>
      </c>
      <c r="B109" t="s">
        <v>241</v>
      </c>
      <c r="C109">
        <v>58882.840731999997</v>
      </c>
      <c r="D109">
        <v>314.185272</v>
      </c>
      <c r="E109" s="3" t="s">
        <v>242</v>
      </c>
      <c r="F109" s="3" t="s">
        <v>106</v>
      </c>
      <c r="G109">
        <v>-1.3284279999999999</v>
      </c>
      <c r="H109">
        <v>318.00070199999999</v>
      </c>
      <c r="I109">
        <v>50.592799999999997</v>
      </c>
      <c r="J109">
        <v>313.076233</v>
      </c>
      <c r="K109">
        <v>45.113746999999996</v>
      </c>
      <c r="L109">
        <v>338.36669899999998</v>
      </c>
      <c r="M109">
        <v>58.768639</v>
      </c>
      <c r="N109">
        <v>20.711974999999999</v>
      </c>
      <c r="O109">
        <v>20.711974999999999</v>
      </c>
      <c r="P109">
        <v>17.638552000000001</v>
      </c>
      <c r="Q109">
        <v>38.136794999999999</v>
      </c>
      <c r="R109">
        <v>2.5655459999999999</v>
      </c>
      <c r="S109">
        <v>0.92127499999999996</v>
      </c>
      <c r="T109">
        <v>0.64090499999999995</v>
      </c>
      <c r="U109">
        <v>4.1109720000000003</v>
      </c>
      <c r="V109">
        <v>146.40107699999999</v>
      </c>
      <c r="W109">
        <v>314.18582199999997</v>
      </c>
      <c r="X109">
        <v>23.950102000000001</v>
      </c>
      <c r="Y109" t="s">
        <v>114</v>
      </c>
      <c r="Z109">
        <v>-1</v>
      </c>
      <c r="AA109">
        <v>-1</v>
      </c>
      <c r="AB109">
        <v>-1</v>
      </c>
      <c r="AC109">
        <v>33.315617000000003</v>
      </c>
      <c r="AD109">
        <v>3.22</v>
      </c>
      <c r="AE109">
        <v>10.848000000000001</v>
      </c>
      <c r="AF109">
        <v>0</v>
      </c>
      <c r="AG109">
        <v>48.766086999999999</v>
      </c>
      <c r="AH109">
        <v>0.62880000000000003</v>
      </c>
      <c r="AI109">
        <v>119.91452</v>
      </c>
      <c r="AJ109">
        <v>23.355710999999999</v>
      </c>
      <c r="AK109">
        <v>139.69416799999999</v>
      </c>
      <c r="AL109">
        <v>55.879021000000002</v>
      </c>
      <c r="AM109">
        <v>55.579780999999997</v>
      </c>
      <c r="AN109">
        <v>51.100521000000001</v>
      </c>
      <c r="AO109">
        <v>357.62274200000002</v>
      </c>
      <c r="AP109">
        <v>51.051246999999996</v>
      </c>
      <c r="AQ109">
        <v>91.307586999999998</v>
      </c>
      <c r="AR109">
        <v>116.22101600000001</v>
      </c>
      <c r="AS109">
        <v>73.518883000000002</v>
      </c>
      <c r="AT109">
        <v>73.484161</v>
      </c>
      <c r="AU109">
        <v>139.02742000000001</v>
      </c>
      <c r="AV109">
        <v>22.567062</v>
      </c>
      <c r="AW109">
        <v>358.15640300000001</v>
      </c>
      <c r="AX109">
        <v>50.633476000000002</v>
      </c>
      <c r="AY109">
        <v>63.084136999999998</v>
      </c>
      <c r="AZ109">
        <v>116.435699</v>
      </c>
      <c r="BA109">
        <v>106.834503</v>
      </c>
      <c r="BB109">
        <v>73.131538000000006</v>
      </c>
      <c r="BC109">
        <v>66.692558000000005</v>
      </c>
      <c r="BD109">
        <v>320.73837300000002</v>
      </c>
      <c r="BE109">
        <v>25.436631999999999</v>
      </c>
      <c r="BF109">
        <v>25.49361</v>
      </c>
      <c r="BG109">
        <v>19.140999000000001</v>
      </c>
      <c r="BH109">
        <v>162</v>
      </c>
      <c r="BI109">
        <v>158</v>
      </c>
      <c r="BJ109">
        <v>2.4691360000000002</v>
      </c>
      <c r="BK109">
        <v>23</v>
      </c>
      <c r="BL109">
        <v>2.8910000000000002E-2</v>
      </c>
      <c r="BM109">
        <v>8.5699999999999995E-3</v>
      </c>
      <c r="BN109">
        <v>-1</v>
      </c>
      <c r="BO109">
        <v>3</v>
      </c>
      <c r="BP109">
        <v>1</v>
      </c>
      <c r="BQ109">
        <v>0.33000200000000002</v>
      </c>
      <c r="BR109">
        <v>156.91645800000001</v>
      </c>
      <c r="BS109">
        <v>88.914421000000004</v>
      </c>
      <c r="BT109">
        <v>1.268E-3</v>
      </c>
      <c r="BU109">
        <v>70.694794000000002</v>
      </c>
      <c r="BV109">
        <v>2.9301560000000002</v>
      </c>
      <c r="BW109">
        <v>6.3950810000000002</v>
      </c>
      <c r="BX109">
        <v>9.4882999999999995E-2</v>
      </c>
      <c r="BY109">
        <v>9.9149000000000001E-2</v>
      </c>
      <c r="BZ109">
        <v>0.98796799999999996</v>
      </c>
      <c r="CA109">
        <v>2020</v>
      </c>
      <c r="CB109">
        <v>2</v>
      </c>
      <c r="CC109">
        <v>3</v>
      </c>
      <c r="CD109">
        <v>20</v>
      </c>
      <c r="CE109">
        <v>10</v>
      </c>
      <c r="CF109">
        <v>39.279998999999997</v>
      </c>
      <c r="CG109">
        <v>2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0.38978099999999999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</row>
    <row r="110" spans="1:105" x14ac:dyDescent="0.25">
      <c r="A110">
        <v>109</v>
      </c>
      <c r="B110" t="s">
        <v>243</v>
      </c>
      <c r="C110">
        <v>58882.970073999997</v>
      </c>
      <c r="D110">
        <v>314.31646699999999</v>
      </c>
      <c r="E110" s="2" t="s">
        <v>107</v>
      </c>
      <c r="F110" s="2" t="s">
        <v>106</v>
      </c>
      <c r="G110">
        <v>1.38198</v>
      </c>
      <c r="H110">
        <v>207.25337200000001</v>
      </c>
      <c r="I110">
        <v>26.333006000000001</v>
      </c>
      <c r="J110">
        <v>207.69101000000001</v>
      </c>
      <c r="K110">
        <v>26.008241999999999</v>
      </c>
      <c r="L110">
        <v>194.70048499999999</v>
      </c>
      <c r="M110">
        <v>34.641204999999999</v>
      </c>
      <c r="N110">
        <v>63.940243000000002</v>
      </c>
      <c r="O110">
        <v>63.940243000000002</v>
      </c>
      <c r="P110">
        <v>62.687527000000003</v>
      </c>
      <c r="Q110">
        <v>46.051310999999998</v>
      </c>
      <c r="R110">
        <v>-2.7674599999999998</v>
      </c>
      <c r="S110">
        <v>0.71898200000000001</v>
      </c>
      <c r="T110">
        <v>1.259798</v>
      </c>
      <c r="U110">
        <v>0</v>
      </c>
      <c r="V110">
        <v>239.01925700000001</v>
      </c>
      <c r="W110">
        <v>314.31637599999999</v>
      </c>
      <c r="X110">
        <v>112.316498</v>
      </c>
      <c r="Y110" t="s">
        <v>114</v>
      </c>
      <c r="Z110">
        <v>-1</v>
      </c>
      <c r="AA110">
        <v>-1</v>
      </c>
      <c r="AB110">
        <v>2.2999999999999998</v>
      </c>
      <c r="AC110">
        <v>2.0070540000000001</v>
      </c>
      <c r="AD110">
        <v>0.18</v>
      </c>
      <c r="AE110">
        <v>11.002000000000001</v>
      </c>
      <c r="AF110">
        <v>0</v>
      </c>
      <c r="AG110">
        <v>119.67292</v>
      </c>
      <c r="AH110">
        <v>-4.875235</v>
      </c>
      <c r="AI110">
        <v>17.291543999999998</v>
      </c>
      <c r="AJ110">
        <v>-37.085464000000002</v>
      </c>
      <c r="AK110">
        <v>202.948746</v>
      </c>
      <c r="AL110">
        <v>53.915184000000004</v>
      </c>
      <c r="AM110">
        <v>51.908009</v>
      </c>
      <c r="AN110">
        <v>41.803082000000003</v>
      </c>
      <c r="AO110">
        <v>358.08261099999999</v>
      </c>
      <c r="AP110">
        <v>51.324089000000001</v>
      </c>
      <c r="AQ110">
        <v>106.601242</v>
      </c>
      <c r="AR110">
        <v>157.71433999999999</v>
      </c>
      <c r="AS110">
        <v>27.765877</v>
      </c>
      <c r="AT110">
        <v>5.2642800000000003</v>
      </c>
      <c r="AU110">
        <v>202.46212800000001</v>
      </c>
      <c r="AV110">
        <v>55.902659999999997</v>
      </c>
      <c r="AW110">
        <v>357.93875100000002</v>
      </c>
      <c r="AX110">
        <v>51.299540999999998</v>
      </c>
      <c r="AY110">
        <v>102.026917</v>
      </c>
      <c r="AZ110">
        <v>147.52041600000001</v>
      </c>
      <c r="BA110">
        <v>29.772860999999999</v>
      </c>
      <c r="BB110">
        <v>5.6291880000000001</v>
      </c>
      <c r="BC110">
        <v>11.509244000000001</v>
      </c>
      <c r="BD110">
        <v>75.332710000000006</v>
      </c>
      <c r="BE110">
        <v>22.247837000000001</v>
      </c>
      <c r="BF110">
        <v>21.290179999999999</v>
      </c>
      <c r="BG110">
        <v>20.785194000000001</v>
      </c>
      <c r="BH110">
        <v>10</v>
      </c>
      <c r="BI110">
        <v>5</v>
      </c>
      <c r="BJ110">
        <v>50</v>
      </c>
      <c r="BK110">
        <v>41</v>
      </c>
      <c r="BL110">
        <v>3.4540000000000001E-2</v>
      </c>
      <c r="BM110">
        <v>1.423E-2</v>
      </c>
      <c r="BN110">
        <v>-1</v>
      </c>
      <c r="BO110">
        <v>3</v>
      </c>
      <c r="BP110">
        <v>1</v>
      </c>
      <c r="BQ110">
        <v>0.17000499999999999</v>
      </c>
      <c r="BR110">
        <v>156.88954200000001</v>
      </c>
      <c r="BS110">
        <v>11.362556</v>
      </c>
      <c r="BT110">
        <v>0.53130900000000003</v>
      </c>
      <c r="BU110">
        <v>56.969588999999999</v>
      </c>
      <c r="BV110">
        <v>1.054737</v>
      </c>
      <c r="BW110">
        <v>0.50964799999999999</v>
      </c>
      <c r="BX110">
        <v>2.93946</v>
      </c>
      <c r="BY110">
        <v>29.967006999999999</v>
      </c>
      <c r="BZ110">
        <v>4.7389000000000001E-2</v>
      </c>
      <c r="CA110">
        <v>2020</v>
      </c>
      <c r="CB110">
        <v>2</v>
      </c>
      <c r="CC110">
        <v>3</v>
      </c>
      <c r="CD110">
        <v>23</v>
      </c>
      <c r="CE110">
        <v>16</v>
      </c>
      <c r="CF110">
        <v>54.429996000000003</v>
      </c>
      <c r="CG110">
        <v>2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-0.361342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 x14ac:dyDescent="0.25">
      <c r="A111">
        <v>110</v>
      </c>
      <c r="B111" t="s">
        <v>244</v>
      </c>
      <c r="C111">
        <v>58883.189603999999</v>
      </c>
      <c r="D111">
        <v>314.53912400000002</v>
      </c>
      <c r="E111" s="3" t="s">
        <v>106</v>
      </c>
      <c r="F111" s="3" t="s">
        <v>242</v>
      </c>
      <c r="G111">
        <v>0.309035</v>
      </c>
      <c r="H111">
        <v>90.426445000000001</v>
      </c>
      <c r="I111">
        <v>33.983401999999998</v>
      </c>
      <c r="J111">
        <v>76.810844000000003</v>
      </c>
      <c r="K111">
        <v>14.344009</v>
      </c>
      <c r="L111">
        <v>77.084686000000005</v>
      </c>
      <c r="M111">
        <v>-8.503349</v>
      </c>
      <c r="N111">
        <v>13.501856999999999</v>
      </c>
      <c r="O111">
        <v>13.501856999999999</v>
      </c>
      <c r="P111">
        <v>7.9715949999999998</v>
      </c>
      <c r="Q111">
        <v>37.088481999999999</v>
      </c>
      <c r="R111">
        <v>2.0895570000000001</v>
      </c>
      <c r="S111">
        <v>0.96926100000000004</v>
      </c>
      <c r="T111">
        <v>0.53613999999999995</v>
      </c>
      <c r="U111">
        <v>3.0217339999999999</v>
      </c>
      <c r="V111">
        <v>17.750446</v>
      </c>
      <c r="W111">
        <v>134.53161600000001</v>
      </c>
      <c r="X111">
        <v>1.830463</v>
      </c>
      <c r="Y111" t="s">
        <v>114</v>
      </c>
      <c r="Z111">
        <v>-1</v>
      </c>
      <c r="AA111">
        <v>-1</v>
      </c>
      <c r="AB111">
        <v>0.5</v>
      </c>
      <c r="AC111">
        <v>16.302575999999998</v>
      </c>
      <c r="AD111">
        <v>4.78</v>
      </c>
      <c r="AE111">
        <v>2.6</v>
      </c>
      <c r="AF111">
        <v>0</v>
      </c>
      <c r="AG111">
        <v>355.06845099999998</v>
      </c>
      <c r="AH111">
        <v>7.8867469999999997</v>
      </c>
      <c r="AI111">
        <v>135.158524</v>
      </c>
      <c r="AJ111">
        <v>30.124634</v>
      </c>
      <c r="AK111">
        <v>96.104812999999993</v>
      </c>
      <c r="AL111">
        <v>54.109431999999998</v>
      </c>
      <c r="AM111">
        <v>317.74353000000002</v>
      </c>
      <c r="AN111">
        <v>32.422896999999999</v>
      </c>
      <c r="AO111">
        <v>-2.1356220000000001</v>
      </c>
      <c r="AP111">
        <v>51.704394999999998</v>
      </c>
      <c r="AQ111">
        <v>74.748962000000006</v>
      </c>
      <c r="AR111">
        <v>137.79440299999999</v>
      </c>
      <c r="AS111">
        <v>20.519542999999999</v>
      </c>
      <c r="AT111">
        <v>11.357764</v>
      </c>
      <c r="AU111">
        <v>106.992981</v>
      </c>
      <c r="AV111">
        <v>69.645172000000002</v>
      </c>
      <c r="AW111">
        <v>-1.417672</v>
      </c>
      <c r="AX111">
        <v>51.377589999999998</v>
      </c>
      <c r="AY111">
        <v>57.817898</v>
      </c>
      <c r="AZ111">
        <v>80.590675000000005</v>
      </c>
      <c r="BA111">
        <v>36.822116999999999</v>
      </c>
      <c r="BB111">
        <v>19.677166</v>
      </c>
      <c r="BC111">
        <v>64.538878999999994</v>
      </c>
      <c r="BD111">
        <v>305.57742300000001</v>
      </c>
      <c r="BE111">
        <v>15.652998</v>
      </c>
      <c r="BF111">
        <v>14.63865</v>
      </c>
      <c r="BG111">
        <v>-8.5296749999999992</v>
      </c>
      <c r="BH111">
        <v>240</v>
      </c>
      <c r="BI111">
        <v>139</v>
      </c>
      <c r="BJ111">
        <v>42.083331999999999</v>
      </c>
      <c r="BK111">
        <v>73</v>
      </c>
      <c r="BL111">
        <v>2.8049999999999999E-2</v>
      </c>
      <c r="BM111">
        <v>1.8159999999999999E-2</v>
      </c>
      <c r="BN111">
        <v>-1</v>
      </c>
      <c r="BO111">
        <v>3</v>
      </c>
      <c r="BP111">
        <v>1</v>
      </c>
      <c r="BQ111">
        <v>1.659999</v>
      </c>
      <c r="BR111">
        <v>156.914185</v>
      </c>
      <c r="BS111">
        <v>34.182102</v>
      </c>
      <c r="BT111">
        <v>5.9919999999999999E-3</v>
      </c>
      <c r="BU111">
        <v>8.0977800000000002</v>
      </c>
      <c r="BV111">
        <v>14.403862</v>
      </c>
      <c r="BW111">
        <v>23.183316999999999</v>
      </c>
      <c r="BX111">
        <v>0.11748</v>
      </c>
      <c r="BY111">
        <v>0.34889599999999998</v>
      </c>
      <c r="BZ111">
        <v>0.90247100000000002</v>
      </c>
      <c r="CA111">
        <v>2020</v>
      </c>
      <c r="CB111">
        <v>2</v>
      </c>
      <c r="CC111">
        <v>4</v>
      </c>
      <c r="CD111">
        <v>4</v>
      </c>
      <c r="CE111">
        <v>33</v>
      </c>
      <c r="CF111">
        <v>1.7800039999999999</v>
      </c>
      <c r="CG111">
        <v>2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0.47857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</row>
    <row r="112" spans="1:105" x14ac:dyDescent="0.25">
      <c r="A112">
        <v>111</v>
      </c>
      <c r="B112" t="s">
        <v>245</v>
      </c>
      <c r="C112">
        <v>58883.196099000001</v>
      </c>
      <c r="D112">
        <v>314.54571499999997</v>
      </c>
      <c r="E112" s="3" t="s">
        <v>125</v>
      </c>
      <c r="F112" s="3" t="s">
        <v>122</v>
      </c>
      <c r="G112">
        <v>3.058E-2</v>
      </c>
      <c r="H112">
        <v>331.76400799999999</v>
      </c>
      <c r="I112">
        <v>78.616034999999997</v>
      </c>
      <c r="J112">
        <v>353.54846199999997</v>
      </c>
      <c r="K112">
        <v>71.568565000000007</v>
      </c>
      <c r="L112">
        <v>47.656360999999997</v>
      </c>
      <c r="M112">
        <v>62.198017</v>
      </c>
      <c r="N112">
        <v>15.371088</v>
      </c>
      <c r="O112">
        <v>15.371088</v>
      </c>
      <c r="P112">
        <v>10.488671</v>
      </c>
      <c r="Q112">
        <v>36.299351000000001</v>
      </c>
      <c r="R112">
        <v>1.8387450000000001</v>
      </c>
      <c r="S112">
        <v>0.98563900000000004</v>
      </c>
      <c r="T112">
        <v>0.46396100000000001</v>
      </c>
      <c r="U112">
        <v>2.4943469999999999</v>
      </c>
      <c r="V112">
        <v>180.06939700000001</v>
      </c>
      <c r="W112">
        <v>314.54660000000001</v>
      </c>
      <c r="X112">
        <v>14.810347999999999</v>
      </c>
      <c r="Y112" t="s">
        <v>114</v>
      </c>
      <c r="Z112">
        <v>-1</v>
      </c>
      <c r="AA112">
        <v>-1</v>
      </c>
      <c r="AB112">
        <v>-0.3</v>
      </c>
      <c r="AC112">
        <v>4.5017800000000001</v>
      </c>
      <c r="AD112">
        <v>0.86</v>
      </c>
      <c r="AE112">
        <v>5.407</v>
      </c>
      <c r="AF112">
        <v>0</v>
      </c>
      <c r="AG112">
        <v>44.679313999999998</v>
      </c>
      <c r="AH112">
        <v>-3.385211</v>
      </c>
      <c r="AI112">
        <v>78.478904999999997</v>
      </c>
      <c r="AJ112">
        <v>-7.4954299999999998</v>
      </c>
      <c r="AK112">
        <v>124.108391</v>
      </c>
      <c r="AL112">
        <v>72.128737999999998</v>
      </c>
      <c r="AM112">
        <v>330.76324499999998</v>
      </c>
      <c r="AN112">
        <v>51.851523999999998</v>
      </c>
      <c r="AO112">
        <v>-1.7165809999999999</v>
      </c>
      <c r="AP112">
        <v>52.308734999999999</v>
      </c>
      <c r="AQ112">
        <v>72.183975000000004</v>
      </c>
      <c r="AR112">
        <v>91.566986</v>
      </c>
      <c r="AS112">
        <v>28.433340000000001</v>
      </c>
      <c r="AT112">
        <v>19.497799000000001</v>
      </c>
      <c r="AU112">
        <v>126.388931</v>
      </c>
      <c r="AV112">
        <v>67.694809000000006</v>
      </c>
      <c r="AW112">
        <v>-1.7459420000000001</v>
      </c>
      <c r="AX112">
        <v>52.226379000000001</v>
      </c>
      <c r="AY112">
        <v>62.941673000000002</v>
      </c>
      <c r="AZ112">
        <v>80.189850000000007</v>
      </c>
      <c r="BA112">
        <v>32.935119999999998</v>
      </c>
      <c r="BB112">
        <v>22.403396999999998</v>
      </c>
      <c r="BC112">
        <v>13.219136000000001</v>
      </c>
      <c r="BD112">
        <v>12.297795000000001</v>
      </c>
      <c r="BE112">
        <v>44.477932000000003</v>
      </c>
      <c r="BF112">
        <v>44.098334999999999</v>
      </c>
      <c r="BG112">
        <v>35.275246000000003</v>
      </c>
      <c r="BH112">
        <v>44</v>
      </c>
      <c r="BI112">
        <v>42</v>
      </c>
      <c r="BJ112">
        <v>4.5454549999999996</v>
      </c>
      <c r="BK112">
        <v>20</v>
      </c>
      <c r="BL112">
        <v>2.64E-2</v>
      </c>
      <c r="BM112">
        <v>2.6210000000000001E-2</v>
      </c>
      <c r="BN112">
        <v>-1</v>
      </c>
      <c r="BO112">
        <v>3</v>
      </c>
      <c r="BP112">
        <v>1</v>
      </c>
      <c r="BQ112">
        <v>3.5300050000000001</v>
      </c>
      <c r="BR112">
        <v>98.432700999999994</v>
      </c>
      <c r="BS112">
        <v>44.507174999999997</v>
      </c>
      <c r="BT112">
        <v>1.4659E-2</v>
      </c>
      <c r="BU112">
        <v>34.801116999999998</v>
      </c>
      <c r="BV112">
        <v>13.212664</v>
      </c>
      <c r="BW112">
        <v>8.8895079999999993</v>
      </c>
      <c r="BX112">
        <v>0.31676399999999999</v>
      </c>
      <c r="BY112">
        <v>0.83112699999999995</v>
      </c>
      <c r="BZ112">
        <v>0.96217600000000003</v>
      </c>
      <c r="CA112">
        <v>2020</v>
      </c>
      <c r="CB112">
        <v>2</v>
      </c>
      <c r="CC112">
        <v>4</v>
      </c>
      <c r="CD112">
        <v>4</v>
      </c>
      <c r="CE112">
        <v>42</v>
      </c>
      <c r="CF112">
        <v>22.929998000000001</v>
      </c>
      <c r="CG112">
        <v>2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0.54384900000000003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</row>
    <row r="113" spans="1:105" x14ac:dyDescent="0.25">
      <c r="A113">
        <v>112</v>
      </c>
      <c r="B113" t="s">
        <v>246</v>
      </c>
      <c r="C113">
        <v>58883.253724000002</v>
      </c>
      <c r="D113">
        <v>314.60415599999999</v>
      </c>
      <c r="E113" s="2" t="s">
        <v>111</v>
      </c>
      <c r="F113" s="2" t="s">
        <v>110</v>
      </c>
      <c r="G113">
        <v>-4.6914899999999999</v>
      </c>
      <c r="H113">
        <v>240.528076</v>
      </c>
      <c r="I113">
        <v>61.775013000000001</v>
      </c>
      <c r="J113">
        <v>240.069016</v>
      </c>
      <c r="K113">
        <v>62.046653999999997</v>
      </c>
      <c r="L113">
        <v>185.22496000000001</v>
      </c>
      <c r="M113">
        <v>76.416450999999995</v>
      </c>
      <c r="N113">
        <v>40.143833000000001</v>
      </c>
      <c r="O113">
        <v>40.143833000000001</v>
      </c>
      <c r="P113">
        <v>38.516308000000002</v>
      </c>
      <c r="Q113">
        <v>44.394027999999999</v>
      </c>
      <c r="R113">
        <v>-5.1958419999999998</v>
      </c>
      <c r="S113">
        <v>0.971773</v>
      </c>
      <c r="T113">
        <v>1.1870289999999999</v>
      </c>
      <c r="U113">
        <v>0</v>
      </c>
      <c r="V113">
        <v>193.07733200000001</v>
      </c>
      <c r="W113">
        <v>314.604309</v>
      </c>
      <c r="X113">
        <v>58.197670000000002</v>
      </c>
      <c r="Y113" t="s">
        <v>247</v>
      </c>
      <c r="Z113">
        <v>0.44873800000000003</v>
      </c>
      <c r="AA113">
        <v>8.1918799999999994</v>
      </c>
      <c r="AB113">
        <v>-3.3</v>
      </c>
      <c r="AC113">
        <v>4.1103880000000004</v>
      </c>
      <c r="AD113">
        <v>0.44</v>
      </c>
      <c r="AE113">
        <v>8.9649999999999999</v>
      </c>
      <c r="AF113">
        <v>0</v>
      </c>
      <c r="AG113">
        <v>130.88140899999999</v>
      </c>
      <c r="AH113">
        <v>10.229931000000001</v>
      </c>
      <c r="AI113">
        <v>59.995795999999999</v>
      </c>
      <c r="AJ113">
        <v>-20.757878999999999</v>
      </c>
      <c r="AK113">
        <v>17.060734</v>
      </c>
      <c r="AL113">
        <v>65.922989000000001</v>
      </c>
      <c r="AM113">
        <v>12.065146</v>
      </c>
      <c r="AN113">
        <v>28.752421999999999</v>
      </c>
      <c r="AO113">
        <v>-0.49294300000000002</v>
      </c>
      <c r="AP113">
        <v>52.423779000000003</v>
      </c>
      <c r="AQ113">
        <v>96.261024000000006</v>
      </c>
      <c r="AR113">
        <v>195.43177800000001</v>
      </c>
      <c r="AS113">
        <v>48.362907</v>
      </c>
      <c r="AT113">
        <v>26.414337</v>
      </c>
      <c r="AU113">
        <v>20.892969000000001</v>
      </c>
      <c r="AV113">
        <v>62.168404000000002</v>
      </c>
      <c r="AW113">
        <v>-0.52593999999999996</v>
      </c>
      <c r="AX113">
        <v>52.395580000000002</v>
      </c>
      <c r="AY113">
        <v>79.026070000000004</v>
      </c>
      <c r="AZ113">
        <v>184.16982999999999</v>
      </c>
      <c r="BA113">
        <v>52.473292999999998</v>
      </c>
      <c r="BB113">
        <v>28.168253</v>
      </c>
      <c r="BC113">
        <v>17.663285999999999</v>
      </c>
      <c r="BD113">
        <v>36.384459999999997</v>
      </c>
      <c r="BE113">
        <v>77.382553000000001</v>
      </c>
      <c r="BF113">
        <v>75.977928000000006</v>
      </c>
      <c r="BG113">
        <v>75.948081999999999</v>
      </c>
      <c r="BH113">
        <v>23</v>
      </c>
      <c r="BI113">
        <v>23</v>
      </c>
      <c r="BJ113">
        <v>0</v>
      </c>
      <c r="BK113">
        <v>59</v>
      </c>
      <c r="BL113">
        <v>2.3E-2</v>
      </c>
      <c r="BM113">
        <v>7.3400000000000002E-3</v>
      </c>
      <c r="BN113">
        <v>-1</v>
      </c>
      <c r="BO113">
        <v>3</v>
      </c>
      <c r="BP113">
        <v>1</v>
      </c>
      <c r="BQ113">
        <v>0.24000099999999999</v>
      </c>
      <c r="BR113">
        <v>105.11901899999999</v>
      </c>
      <c r="BS113">
        <v>36.529353999999998</v>
      </c>
      <c r="BT113">
        <v>9.5200000000000005E-4</v>
      </c>
      <c r="BU113">
        <v>50.262051</v>
      </c>
      <c r="BV113">
        <v>3.5482079999999998</v>
      </c>
      <c r="BW113">
        <v>0.34714099999999998</v>
      </c>
      <c r="BX113">
        <v>0.52610699999999999</v>
      </c>
      <c r="BY113">
        <v>1.1144849999999999</v>
      </c>
      <c r="BZ113">
        <v>0.14619399999999999</v>
      </c>
      <c r="CA113">
        <v>2020</v>
      </c>
      <c r="CB113">
        <v>2</v>
      </c>
      <c r="CC113">
        <v>4</v>
      </c>
      <c r="CD113">
        <v>6</v>
      </c>
      <c r="CE113">
        <v>5</v>
      </c>
      <c r="CF113">
        <v>21.739998</v>
      </c>
      <c r="CG113">
        <v>2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-0.19246199999999999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</row>
    <row r="114" spans="1:105" x14ac:dyDescent="0.25">
      <c r="A114">
        <v>113</v>
      </c>
      <c r="B114" t="s">
        <v>248</v>
      </c>
      <c r="C114">
        <v>58885.115553000003</v>
      </c>
      <c r="D114">
        <v>316.49169899999998</v>
      </c>
      <c r="E114" s="2" t="s">
        <v>111</v>
      </c>
      <c r="F114" s="2" t="s">
        <v>110</v>
      </c>
      <c r="G114">
        <v>-1.380576</v>
      </c>
      <c r="H114">
        <v>279.55426</v>
      </c>
      <c r="I114">
        <v>31.657077999999998</v>
      </c>
      <c r="J114">
        <v>280.90625</v>
      </c>
      <c r="K114">
        <v>30.543188000000001</v>
      </c>
      <c r="L114">
        <v>285.85376000000002</v>
      </c>
      <c r="M114">
        <v>53.381340000000002</v>
      </c>
      <c r="N114">
        <v>40.233283999999998</v>
      </c>
      <c r="O114">
        <v>40.233283999999998</v>
      </c>
      <c r="P114">
        <v>38.396453999999999</v>
      </c>
      <c r="Q114">
        <v>41.132809000000002</v>
      </c>
      <c r="R114">
        <v>8.2390399999999993</v>
      </c>
      <c r="S114">
        <v>0.74174200000000001</v>
      </c>
      <c r="T114">
        <v>0.909972</v>
      </c>
      <c r="U114">
        <v>23.658633999999999</v>
      </c>
      <c r="V114">
        <v>118.69558000000001</v>
      </c>
      <c r="W114">
        <v>316.49179099999998</v>
      </c>
      <c r="X114">
        <v>58.992305999999999</v>
      </c>
      <c r="Y114" t="s">
        <v>114</v>
      </c>
      <c r="Z114">
        <v>-1</v>
      </c>
      <c r="AA114">
        <v>-1</v>
      </c>
      <c r="AB114">
        <v>-0.1</v>
      </c>
      <c r="AC114">
        <v>2.8688539999999998</v>
      </c>
      <c r="AD114">
        <v>0.38</v>
      </c>
      <c r="AE114">
        <v>7.508</v>
      </c>
      <c r="AF114">
        <v>0</v>
      </c>
      <c r="AG114">
        <v>356.603455</v>
      </c>
      <c r="AH114">
        <v>-19.975249999999999</v>
      </c>
      <c r="AI114">
        <v>35.306023000000003</v>
      </c>
      <c r="AJ114">
        <v>-32.263077000000003</v>
      </c>
      <c r="AK114">
        <v>307.84530599999999</v>
      </c>
      <c r="AL114">
        <v>61.129204000000001</v>
      </c>
      <c r="AM114">
        <v>24.208780000000001</v>
      </c>
      <c r="AN114">
        <v>28.598852000000001</v>
      </c>
      <c r="AO114">
        <v>359.95352200000002</v>
      </c>
      <c r="AP114">
        <v>52.260494000000001</v>
      </c>
      <c r="AQ114">
        <v>91.415854999999993</v>
      </c>
      <c r="AR114">
        <v>186.52024800000001</v>
      </c>
      <c r="AS114">
        <v>34.764496000000001</v>
      </c>
      <c r="AT114">
        <v>31.826923000000001</v>
      </c>
      <c r="AU114">
        <v>312.332245</v>
      </c>
      <c r="AV114">
        <v>63.086544000000004</v>
      </c>
      <c r="AW114">
        <v>359.77005000000003</v>
      </c>
      <c r="AX114">
        <v>52.197262000000002</v>
      </c>
      <c r="AY114">
        <v>86.781661999999997</v>
      </c>
      <c r="AZ114">
        <v>174.17887899999999</v>
      </c>
      <c r="BA114">
        <v>37.633347000000001</v>
      </c>
      <c r="BB114">
        <v>34.382893000000003</v>
      </c>
      <c r="BC114">
        <v>15.288648999999999</v>
      </c>
      <c r="BD114">
        <v>60.676720000000003</v>
      </c>
      <c r="BE114">
        <v>17.623760000000001</v>
      </c>
      <c r="BF114">
        <v>16.441818000000001</v>
      </c>
      <c r="BG114">
        <v>14.846764</v>
      </c>
      <c r="BH114">
        <v>20</v>
      </c>
      <c r="BI114">
        <v>19</v>
      </c>
      <c r="BJ114">
        <v>5</v>
      </c>
      <c r="BK114">
        <v>61</v>
      </c>
      <c r="BL114">
        <v>2.0619999999999999E-2</v>
      </c>
      <c r="BM114">
        <v>1.3990000000000001E-2</v>
      </c>
      <c r="BN114">
        <v>-1</v>
      </c>
      <c r="BO114">
        <v>3</v>
      </c>
      <c r="BP114">
        <v>1</v>
      </c>
      <c r="BQ114">
        <v>0.87000100000000002</v>
      </c>
      <c r="BR114">
        <v>105.11901899999999</v>
      </c>
      <c r="BS114">
        <v>67.646125999999995</v>
      </c>
      <c r="BT114">
        <v>3.0709999999999999E-3</v>
      </c>
      <c r="BU114">
        <v>40.575763999999999</v>
      </c>
      <c r="BV114">
        <v>0.99660000000000004</v>
      </c>
      <c r="BW114">
        <v>1.6064959999999999</v>
      </c>
      <c r="BX114">
        <v>0.33683999999999997</v>
      </c>
      <c r="BY114">
        <v>0.596472</v>
      </c>
      <c r="BZ114">
        <v>0.96823400000000004</v>
      </c>
      <c r="CA114">
        <v>2020</v>
      </c>
      <c r="CB114">
        <v>2</v>
      </c>
      <c r="CC114">
        <v>6</v>
      </c>
      <c r="CD114">
        <v>2</v>
      </c>
      <c r="CE114">
        <v>46</v>
      </c>
      <c r="CF114">
        <v>23.76</v>
      </c>
      <c r="CG114">
        <v>2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0.12137299999999999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</row>
    <row r="115" spans="1:105" x14ac:dyDescent="0.25">
      <c r="A115">
        <v>114</v>
      </c>
      <c r="B115" t="s">
        <v>249</v>
      </c>
      <c r="C115">
        <v>58885.145809000001</v>
      </c>
      <c r="D115">
        <v>316.52236900000003</v>
      </c>
      <c r="E115" s="3" t="s">
        <v>122</v>
      </c>
      <c r="F115" s="3" t="s">
        <v>106</v>
      </c>
      <c r="G115">
        <v>-0.48940600000000001</v>
      </c>
      <c r="H115">
        <v>230.83192399999999</v>
      </c>
      <c r="I115">
        <v>31.399107000000001</v>
      </c>
      <c r="J115">
        <v>231.347824</v>
      </c>
      <c r="K115">
        <v>30.773537000000001</v>
      </c>
      <c r="L115">
        <v>217.52363600000001</v>
      </c>
      <c r="M115">
        <v>47.418208999999997</v>
      </c>
      <c r="N115">
        <v>34.502440999999997</v>
      </c>
      <c r="O115">
        <v>34.502440999999997</v>
      </c>
      <c r="P115">
        <v>32.466019000000003</v>
      </c>
      <c r="Q115">
        <v>25.568435999999998</v>
      </c>
      <c r="R115">
        <v>0.77422400000000002</v>
      </c>
      <c r="S115">
        <v>0.54329099999999997</v>
      </c>
      <c r="T115">
        <v>0.29827700000000001</v>
      </c>
      <c r="U115">
        <v>0.68151399999999995</v>
      </c>
      <c r="V115">
        <v>342.57763699999998</v>
      </c>
      <c r="W115">
        <v>316.52242999999999</v>
      </c>
      <c r="X115">
        <v>70.432175000000001</v>
      </c>
      <c r="Y115" t="s">
        <v>114</v>
      </c>
      <c r="Z115">
        <v>-1</v>
      </c>
      <c r="AA115">
        <v>-1</v>
      </c>
      <c r="AB115">
        <v>0.8</v>
      </c>
      <c r="AC115">
        <v>0.64181999999999995</v>
      </c>
      <c r="AD115">
        <v>0.06</v>
      </c>
      <c r="AE115">
        <v>21.205998999999998</v>
      </c>
      <c r="AF115">
        <v>0</v>
      </c>
      <c r="AG115">
        <v>54.284996</v>
      </c>
      <c r="AH115">
        <v>58.554572999999998</v>
      </c>
      <c r="AI115">
        <v>340.14712500000002</v>
      </c>
      <c r="AJ115">
        <v>-36.957751999999999</v>
      </c>
      <c r="AK115">
        <v>151.874664</v>
      </c>
      <c r="AL115">
        <v>4.6190090000000001</v>
      </c>
      <c r="AM115">
        <v>223.39167800000001</v>
      </c>
      <c r="AN115">
        <v>33.894958000000003</v>
      </c>
      <c r="AO115">
        <v>-2.6967629999999998</v>
      </c>
      <c r="AP115">
        <v>51.781834000000003</v>
      </c>
      <c r="AQ115">
        <v>102.862785</v>
      </c>
      <c r="AR115">
        <v>181.291077</v>
      </c>
      <c r="AS115">
        <v>78.175399999999996</v>
      </c>
      <c r="AT115">
        <v>63.996555000000001</v>
      </c>
      <c r="AU115">
        <v>151.32394400000001</v>
      </c>
      <c r="AV115">
        <v>4.2866390000000001</v>
      </c>
      <c r="AW115">
        <v>-2.7146650000000001</v>
      </c>
      <c r="AX115">
        <v>51.784519000000003</v>
      </c>
      <c r="AY115">
        <v>101.24580400000001</v>
      </c>
      <c r="AZ115">
        <v>180.87780799999999</v>
      </c>
      <c r="BA115">
        <v>78.817215000000004</v>
      </c>
      <c r="BB115">
        <v>64.266227999999998</v>
      </c>
      <c r="BC115">
        <v>2.0701459999999998</v>
      </c>
      <c r="BD115">
        <v>103.72444900000001</v>
      </c>
      <c r="BE115">
        <v>51.164326000000003</v>
      </c>
      <c r="BF115">
        <v>51.789870999999998</v>
      </c>
      <c r="BG115">
        <v>51.030231000000001</v>
      </c>
      <c r="BH115">
        <v>4</v>
      </c>
      <c r="BI115">
        <v>4</v>
      </c>
      <c r="BJ115">
        <v>0</v>
      </c>
      <c r="BK115">
        <v>25</v>
      </c>
      <c r="BL115">
        <v>2.8539999999999999E-2</v>
      </c>
      <c r="BM115">
        <v>1.1900000000000001E-3</v>
      </c>
      <c r="BN115">
        <v>-1</v>
      </c>
      <c r="BO115">
        <v>3</v>
      </c>
      <c r="BP115">
        <v>1</v>
      </c>
      <c r="BQ115">
        <v>0.270005</v>
      </c>
      <c r="BR115">
        <v>201.685608</v>
      </c>
      <c r="BS115">
        <v>66.673454000000007</v>
      </c>
      <c r="BT115">
        <v>7.8376000000000001E-2</v>
      </c>
      <c r="BU115">
        <v>36.505436000000003</v>
      </c>
      <c r="BV115">
        <v>26.024308999999999</v>
      </c>
      <c r="BW115">
        <v>0.76585300000000001</v>
      </c>
      <c r="BX115">
        <v>3.896328</v>
      </c>
      <c r="BY115">
        <v>4.3253069999999996</v>
      </c>
      <c r="BZ115">
        <v>0.86661500000000002</v>
      </c>
      <c r="CA115">
        <v>2020</v>
      </c>
      <c r="CB115">
        <v>2</v>
      </c>
      <c r="CC115">
        <v>6</v>
      </c>
      <c r="CD115">
        <v>3</v>
      </c>
      <c r="CE115">
        <v>29</v>
      </c>
      <c r="CF115">
        <v>57.939995000000003</v>
      </c>
      <c r="CG115">
        <v>2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1.291615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 x14ac:dyDescent="0.25">
      <c r="A116">
        <v>115</v>
      </c>
      <c r="B116" t="s">
        <v>250</v>
      </c>
      <c r="C116">
        <v>58885.172466999997</v>
      </c>
      <c r="D116">
        <v>316.54937699999999</v>
      </c>
      <c r="E116" s="2" t="s">
        <v>242</v>
      </c>
      <c r="F116" s="2" t="s">
        <v>106</v>
      </c>
      <c r="G116">
        <v>-1.83995</v>
      </c>
      <c r="H116">
        <v>232.29879800000001</v>
      </c>
      <c r="I116">
        <v>23.559626000000002</v>
      </c>
      <c r="J116">
        <v>232.28839099999999</v>
      </c>
      <c r="K116">
        <v>23.340927000000001</v>
      </c>
      <c r="L116">
        <v>222.17744400000001</v>
      </c>
      <c r="M116">
        <v>40.723812000000002</v>
      </c>
      <c r="N116">
        <v>60.342533000000003</v>
      </c>
      <c r="O116">
        <v>60.342533000000003</v>
      </c>
      <c r="P116">
        <v>59.130524000000001</v>
      </c>
      <c r="Q116">
        <v>41.329239000000001</v>
      </c>
      <c r="R116">
        <v>9.6997029999999995</v>
      </c>
      <c r="S116">
        <v>0.97989700000000002</v>
      </c>
      <c r="T116">
        <v>0.89897700000000003</v>
      </c>
      <c r="U116">
        <v>30.221249</v>
      </c>
      <c r="V116">
        <v>189.226212</v>
      </c>
      <c r="W116">
        <v>316.54931599999998</v>
      </c>
      <c r="X116">
        <v>110.58296199999999</v>
      </c>
      <c r="Y116" t="s">
        <v>219</v>
      </c>
      <c r="Z116">
        <v>3.7746849999999998</v>
      </c>
      <c r="AA116">
        <v>1.949179</v>
      </c>
      <c r="AB116">
        <v>-1.6</v>
      </c>
      <c r="AC116">
        <v>4.0954040000000003</v>
      </c>
      <c r="AD116">
        <v>0.3</v>
      </c>
      <c r="AE116">
        <v>13.595000000000001</v>
      </c>
      <c r="AF116">
        <v>0</v>
      </c>
      <c r="AG116">
        <v>132.87428299999999</v>
      </c>
      <c r="AH116">
        <v>20.582438</v>
      </c>
      <c r="AI116">
        <v>321.156342</v>
      </c>
      <c r="AJ116">
        <v>-33.240443999999997</v>
      </c>
      <c r="AK116">
        <v>245.167068</v>
      </c>
      <c r="AL116">
        <v>45.289501000000001</v>
      </c>
      <c r="AM116">
        <v>79.122451999999996</v>
      </c>
      <c r="AN116">
        <v>56.312579999999997</v>
      </c>
      <c r="AO116">
        <v>-2.3110270000000002</v>
      </c>
      <c r="AP116">
        <v>50.797553999999998</v>
      </c>
      <c r="AQ116">
        <v>100.339073</v>
      </c>
      <c r="AR116">
        <v>119.81313299999999</v>
      </c>
      <c r="AS116">
        <v>24.112760999999999</v>
      </c>
      <c r="AT116">
        <v>24.053875000000001</v>
      </c>
      <c r="AU116">
        <v>248.272659</v>
      </c>
      <c r="AV116">
        <v>48.796700000000001</v>
      </c>
      <c r="AW116">
        <v>-2.4501040000000001</v>
      </c>
      <c r="AX116">
        <v>50.847881000000001</v>
      </c>
      <c r="AY116">
        <v>86.337569999999999</v>
      </c>
      <c r="AZ116">
        <v>103.554382</v>
      </c>
      <c r="BA116">
        <v>28.208164</v>
      </c>
      <c r="BB116">
        <v>28.137604</v>
      </c>
      <c r="BC116">
        <v>18.10276</v>
      </c>
      <c r="BD116">
        <v>119.80407</v>
      </c>
      <c r="BE116">
        <v>50.538539999999998</v>
      </c>
      <c r="BF116">
        <v>50.09037</v>
      </c>
      <c r="BG116">
        <v>49.921790999999999</v>
      </c>
      <c r="BH116">
        <v>16</v>
      </c>
      <c r="BI116">
        <v>16</v>
      </c>
      <c r="BJ116">
        <v>0</v>
      </c>
      <c r="BK116">
        <v>10</v>
      </c>
      <c r="BL116">
        <v>2.6259999999999999E-2</v>
      </c>
      <c r="BM116">
        <v>4.6499999999999996E-3</v>
      </c>
      <c r="BN116">
        <v>-1</v>
      </c>
      <c r="BO116">
        <v>3</v>
      </c>
      <c r="BP116">
        <v>1</v>
      </c>
      <c r="BQ116">
        <v>8.0004000000000006E-2</v>
      </c>
      <c r="BR116">
        <v>156.91645800000001</v>
      </c>
      <c r="BS116">
        <v>86.116057999999995</v>
      </c>
      <c r="BT116">
        <v>2.81E-4</v>
      </c>
      <c r="BU116">
        <v>82.497085999999996</v>
      </c>
      <c r="BV116">
        <v>0.57215499999999997</v>
      </c>
      <c r="BW116">
        <v>0.21890699999999999</v>
      </c>
      <c r="BX116">
        <v>0.18931400000000001</v>
      </c>
      <c r="BY116">
        <v>0.40143800000000002</v>
      </c>
      <c r="BZ116">
        <v>0.98384000000000005</v>
      </c>
      <c r="CA116">
        <v>2020</v>
      </c>
      <c r="CB116">
        <v>2</v>
      </c>
      <c r="CC116">
        <v>6</v>
      </c>
      <c r="CD116">
        <v>4</v>
      </c>
      <c r="CE116">
        <v>8</v>
      </c>
      <c r="CF116">
        <v>21.17</v>
      </c>
      <c r="CG116">
        <v>2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0.10309599999999999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</row>
    <row r="117" spans="1:105" x14ac:dyDescent="0.25">
      <c r="A117">
        <v>116</v>
      </c>
      <c r="B117" t="s">
        <v>251</v>
      </c>
      <c r="C117">
        <v>58885.965151999997</v>
      </c>
      <c r="D117">
        <v>317.3526</v>
      </c>
      <c r="E117" s="3" t="s">
        <v>111</v>
      </c>
      <c r="F117" s="3" t="s">
        <v>110</v>
      </c>
      <c r="G117">
        <v>-2.5028990000000002</v>
      </c>
      <c r="H117">
        <v>208.24852000000001</v>
      </c>
      <c r="I117">
        <v>45.904465000000002</v>
      </c>
      <c r="J117">
        <v>209.22863799999999</v>
      </c>
      <c r="K117">
        <v>45.595837000000003</v>
      </c>
      <c r="L117">
        <v>182.74993900000001</v>
      </c>
      <c r="M117">
        <v>52.314250999999999</v>
      </c>
      <c r="N117">
        <v>44.342399999999998</v>
      </c>
      <c r="O117">
        <v>44.342399999999998</v>
      </c>
      <c r="P117">
        <v>42.700507999999999</v>
      </c>
      <c r="Q117">
        <v>40.031852999999998</v>
      </c>
      <c r="R117">
        <v>4.5080220000000004</v>
      </c>
      <c r="S117">
        <v>0.76441499999999996</v>
      </c>
      <c r="T117">
        <v>0.83043199999999995</v>
      </c>
      <c r="U117">
        <v>9.5753299999999992</v>
      </c>
      <c r="V117">
        <v>239.698883</v>
      </c>
      <c r="W117">
        <v>317.35263099999997</v>
      </c>
      <c r="X117">
        <v>71.048996000000002</v>
      </c>
      <c r="Y117" t="s">
        <v>114</v>
      </c>
      <c r="Z117">
        <v>-1</v>
      </c>
      <c r="AA117">
        <v>-1</v>
      </c>
      <c r="AB117">
        <v>-1</v>
      </c>
      <c r="AC117">
        <v>1.414148</v>
      </c>
      <c r="AD117">
        <v>0.52</v>
      </c>
      <c r="AE117">
        <v>2.7389999999999999</v>
      </c>
      <c r="AF117">
        <v>0</v>
      </c>
      <c r="AG117">
        <v>19.483622</v>
      </c>
      <c r="AH117">
        <v>43.759250999999999</v>
      </c>
      <c r="AI117">
        <v>36.069901000000002</v>
      </c>
      <c r="AJ117">
        <v>-32.696227999999998</v>
      </c>
      <c r="AK117">
        <v>224.29063400000001</v>
      </c>
      <c r="AL117">
        <v>43.468395000000001</v>
      </c>
      <c r="AM117">
        <v>52.563782000000003</v>
      </c>
      <c r="AN117">
        <v>26.246143</v>
      </c>
      <c r="AO117">
        <v>1.1322270000000001</v>
      </c>
      <c r="AP117">
        <v>51.938560000000003</v>
      </c>
      <c r="AQ117">
        <v>96.739684999999994</v>
      </c>
      <c r="AR117">
        <v>211.05592300000001</v>
      </c>
      <c r="AS117">
        <v>11.641268</v>
      </c>
      <c r="AT117">
        <v>10.799356</v>
      </c>
      <c r="AU117">
        <v>226.13420099999999</v>
      </c>
      <c r="AV117">
        <v>43.024985999999998</v>
      </c>
      <c r="AW117">
        <v>0.90396500000000002</v>
      </c>
      <c r="AX117">
        <v>51.860802</v>
      </c>
      <c r="AY117">
        <v>82.539612000000005</v>
      </c>
      <c r="AZ117">
        <v>188.52960200000001</v>
      </c>
      <c r="BA117">
        <v>13.055415</v>
      </c>
      <c r="BB117">
        <v>12.108176</v>
      </c>
      <c r="BC117">
        <v>23.058046000000001</v>
      </c>
      <c r="BD117">
        <v>61.362395999999997</v>
      </c>
      <c r="BE117">
        <v>37.922702999999998</v>
      </c>
      <c r="BF117">
        <v>36.262794</v>
      </c>
      <c r="BG117">
        <v>35.537681999999997</v>
      </c>
      <c r="BH117">
        <v>27</v>
      </c>
      <c r="BI117">
        <v>25</v>
      </c>
      <c r="BJ117">
        <v>7.4074070000000001</v>
      </c>
      <c r="BK117">
        <v>42</v>
      </c>
      <c r="BL117">
        <v>2.6509999999999999E-2</v>
      </c>
      <c r="BM117">
        <v>1.055E-2</v>
      </c>
      <c r="BN117">
        <v>-1</v>
      </c>
      <c r="BO117">
        <v>3</v>
      </c>
      <c r="BP117">
        <v>1</v>
      </c>
      <c r="BQ117">
        <v>2.3300010000000002</v>
      </c>
      <c r="BR117">
        <v>105.11901899999999</v>
      </c>
      <c r="BS117">
        <v>68.213158000000007</v>
      </c>
      <c r="BT117">
        <v>8.1799999999999998E-3</v>
      </c>
      <c r="BU117">
        <v>72.039451999999997</v>
      </c>
      <c r="BV117">
        <v>2.3712409999999999</v>
      </c>
      <c r="BW117">
        <v>0.75031999999999999</v>
      </c>
      <c r="BX117">
        <v>0.28375299999999998</v>
      </c>
      <c r="BY117">
        <v>1.3527610000000001</v>
      </c>
      <c r="BZ117">
        <v>0.94126500000000002</v>
      </c>
      <c r="CA117">
        <v>2020</v>
      </c>
      <c r="CB117">
        <v>2</v>
      </c>
      <c r="CC117">
        <v>6</v>
      </c>
      <c r="CD117">
        <v>23</v>
      </c>
      <c r="CE117">
        <v>9</v>
      </c>
      <c r="CF117">
        <v>49.099995</v>
      </c>
      <c r="CG117">
        <v>2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0.221827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</row>
    <row r="118" spans="1:105" x14ac:dyDescent="0.25">
      <c r="A118">
        <v>117</v>
      </c>
      <c r="B118" t="s">
        <v>252</v>
      </c>
      <c r="C118">
        <v>58886.175993999997</v>
      </c>
      <c r="D118">
        <v>317.566193</v>
      </c>
      <c r="E118" s="2" t="s">
        <v>106</v>
      </c>
      <c r="F118" s="2" t="s">
        <v>242</v>
      </c>
      <c r="G118">
        <v>-0.61052399999999996</v>
      </c>
      <c r="H118">
        <v>291.03332499999999</v>
      </c>
      <c r="I118">
        <v>76.405815000000004</v>
      </c>
      <c r="J118">
        <v>305.88626099999999</v>
      </c>
      <c r="K118">
        <v>75.592597999999995</v>
      </c>
      <c r="L118">
        <v>53.935673000000001</v>
      </c>
      <c r="M118">
        <v>75.655472000000003</v>
      </c>
      <c r="N118">
        <v>20.455482</v>
      </c>
      <c r="O118">
        <v>20.455482</v>
      </c>
      <c r="P118">
        <v>17.050412999999999</v>
      </c>
      <c r="Q118">
        <v>38.149287999999999</v>
      </c>
      <c r="R118">
        <v>2.5795490000000001</v>
      </c>
      <c r="S118">
        <v>0.98606199999999999</v>
      </c>
      <c r="T118">
        <v>0.61773900000000004</v>
      </c>
      <c r="U118">
        <v>4.1446740000000002</v>
      </c>
      <c r="V118">
        <v>180.74775700000001</v>
      </c>
      <c r="W118">
        <v>317.56646699999999</v>
      </c>
      <c r="X118">
        <v>25.660527999999999</v>
      </c>
      <c r="Y118" t="s">
        <v>114</v>
      </c>
      <c r="Z118">
        <v>-1</v>
      </c>
      <c r="AA118">
        <v>-1</v>
      </c>
      <c r="AB118">
        <v>-0.6</v>
      </c>
      <c r="AC118">
        <v>5.8619820000000002</v>
      </c>
      <c r="AD118">
        <v>0.92</v>
      </c>
      <c r="AE118">
        <v>6.51</v>
      </c>
      <c r="AF118">
        <v>0</v>
      </c>
      <c r="AG118">
        <v>40.622718999999996</v>
      </c>
      <c r="AH118">
        <v>4.6351779999999998</v>
      </c>
      <c r="AI118">
        <v>72.064453</v>
      </c>
      <c r="AJ118">
        <v>-12.80691</v>
      </c>
      <c r="AK118">
        <v>145.10578899999999</v>
      </c>
      <c r="AL118">
        <v>72.038207999999997</v>
      </c>
      <c r="AM118">
        <v>331.34487899999999</v>
      </c>
      <c r="AN118">
        <v>58.681224999999998</v>
      </c>
      <c r="AO118">
        <v>-1.4024700000000001</v>
      </c>
      <c r="AP118">
        <v>51.381194999999998</v>
      </c>
      <c r="AQ118">
        <v>92.832695000000001</v>
      </c>
      <c r="AR118">
        <v>108.37896000000001</v>
      </c>
      <c r="AS118">
        <v>30.166070999999999</v>
      </c>
      <c r="AT118">
        <v>11.445912</v>
      </c>
      <c r="AU118">
        <v>141.28294399999999</v>
      </c>
      <c r="AV118">
        <v>66.332831999999996</v>
      </c>
      <c r="AW118">
        <v>-1.465036</v>
      </c>
      <c r="AX118">
        <v>51.278163999999997</v>
      </c>
      <c r="AY118">
        <v>78.664787000000004</v>
      </c>
      <c r="AZ118">
        <v>92.59272</v>
      </c>
      <c r="BA118">
        <v>36.028053</v>
      </c>
      <c r="BB118">
        <v>13.43108</v>
      </c>
      <c r="BC118">
        <v>18.819044000000002</v>
      </c>
      <c r="BD118">
        <v>20.891522999999999</v>
      </c>
      <c r="BE118">
        <v>48.946503</v>
      </c>
      <c r="BF118">
        <v>48.618340000000003</v>
      </c>
      <c r="BG118">
        <v>45.027985000000001</v>
      </c>
      <c r="BH118">
        <v>47</v>
      </c>
      <c r="BI118">
        <v>45</v>
      </c>
      <c r="BJ118">
        <v>4.2553190000000001</v>
      </c>
      <c r="BK118">
        <v>21</v>
      </c>
      <c r="BL118">
        <v>2.5760000000000002E-2</v>
      </c>
      <c r="BM118">
        <v>1.141E-2</v>
      </c>
      <c r="BN118">
        <v>-1</v>
      </c>
      <c r="BO118">
        <v>3</v>
      </c>
      <c r="BP118">
        <v>1</v>
      </c>
      <c r="BQ118">
        <v>0.190001</v>
      </c>
      <c r="BR118">
        <v>156.914185</v>
      </c>
      <c r="BS118">
        <v>23.260024999999999</v>
      </c>
      <c r="BT118">
        <v>7.3700000000000002E-4</v>
      </c>
      <c r="BU118">
        <v>20.012384000000001</v>
      </c>
      <c r="BV118">
        <v>2.0728490000000002</v>
      </c>
      <c r="BW118">
        <v>3.673638</v>
      </c>
      <c r="BX118">
        <v>0.426815</v>
      </c>
      <c r="BY118">
        <v>1.837539</v>
      </c>
      <c r="BZ118">
        <v>0.93292900000000001</v>
      </c>
      <c r="CA118">
        <v>2020</v>
      </c>
      <c r="CB118">
        <v>2</v>
      </c>
      <c r="CC118">
        <v>7</v>
      </c>
      <c r="CD118">
        <v>4</v>
      </c>
      <c r="CE118">
        <v>13</v>
      </c>
      <c r="CF118">
        <v>25.869997000000001</v>
      </c>
      <c r="CG118">
        <v>2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0.38766499999999998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</row>
    <row r="119" spans="1:105" x14ac:dyDescent="0.25">
      <c r="A119">
        <v>118</v>
      </c>
      <c r="B119" t="s">
        <v>253</v>
      </c>
      <c r="C119">
        <v>58886.237594999999</v>
      </c>
      <c r="D119">
        <v>317.628601</v>
      </c>
      <c r="E119" s="3" t="s">
        <v>106</v>
      </c>
      <c r="F119" s="3" t="s">
        <v>242</v>
      </c>
      <c r="G119">
        <v>5.8250000000000003E-2</v>
      </c>
      <c r="H119">
        <v>58.777275000000003</v>
      </c>
      <c r="I119">
        <v>67.172950999999998</v>
      </c>
      <c r="J119">
        <v>54.688643999999996</v>
      </c>
      <c r="K119">
        <v>48.828789</v>
      </c>
      <c r="L119">
        <v>64.345703</v>
      </c>
      <c r="M119">
        <v>28.488491</v>
      </c>
      <c r="N119">
        <v>13.564462000000001</v>
      </c>
      <c r="O119">
        <v>13.564462000000001</v>
      </c>
      <c r="P119">
        <v>7.7475579999999997</v>
      </c>
      <c r="Q119">
        <v>36.933307999999997</v>
      </c>
      <c r="R119">
        <v>2.0384890000000002</v>
      </c>
      <c r="S119">
        <v>0.98311400000000004</v>
      </c>
      <c r="T119">
        <v>0.51772399999999996</v>
      </c>
      <c r="U119">
        <v>2.9116379999999999</v>
      </c>
      <c r="V119">
        <v>187.64565999999999</v>
      </c>
      <c r="W119">
        <v>317.62991299999999</v>
      </c>
      <c r="X119">
        <v>5.7500720000000003</v>
      </c>
      <c r="Y119" t="s">
        <v>114</v>
      </c>
      <c r="Z119">
        <v>-1</v>
      </c>
      <c r="AA119">
        <v>-1</v>
      </c>
      <c r="AB119">
        <v>-0.3</v>
      </c>
      <c r="AC119">
        <v>27.497883000000002</v>
      </c>
      <c r="AD119">
        <v>3.4</v>
      </c>
      <c r="AE119">
        <v>7.2610000000000001</v>
      </c>
      <c r="AF119">
        <v>0</v>
      </c>
      <c r="AG119">
        <v>102.506004</v>
      </c>
      <c r="AH119">
        <v>-16.917831</v>
      </c>
      <c r="AI119">
        <v>94.497337000000002</v>
      </c>
      <c r="AJ119">
        <v>4.9359380000000002</v>
      </c>
      <c r="AK119">
        <v>167.20208700000001</v>
      </c>
      <c r="AL119">
        <v>54.563338999999999</v>
      </c>
      <c r="AM119">
        <v>297.69686899999999</v>
      </c>
      <c r="AN119">
        <v>57.984614999999998</v>
      </c>
      <c r="AO119">
        <v>-1.6584220000000001</v>
      </c>
      <c r="AP119">
        <v>51.152785999999999</v>
      </c>
      <c r="AQ119">
        <v>81.917336000000006</v>
      </c>
      <c r="AR119">
        <v>96.330482000000003</v>
      </c>
      <c r="AS119">
        <v>47.167889000000002</v>
      </c>
      <c r="AT119">
        <v>46.210875999999999</v>
      </c>
      <c r="AU119">
        <v>182.63047800000001</v>
      </c>
      <c r="AV119">
        <v>29.417331999999998</v>
      </c>
      <c r="AW119">
        <v>-1.580411</v>
      </c>
      <c r="AX119">
        <v>50.796692</v>
      </c>
      <c r="AY119">
        <v>59.608348999999997</v>
      </c>
      <c r="AZ119">
        <v>73.251648000000003</v>
      </c>
      <c r="BA119">
        <v>74.665771000000007</v>
      </c>
      <c r="BB119">
        <v>71.683043999999995</v>
      </c>
      <c r="BC119">
        <v>46.119171000000001</v>
      </c>
      <c r="BD119">
        <v>351.88552900000002</v>
      </c>
      <c r="BE119">
        <v>29.209011</v>
      </c>
      <c r="BF119">
        <v>28.941424999999999</v>
      </c>
      <c r="BG119">
        <v>10.519263</v>
      </c>
      <c r="BH119">
        <v>171</v>
      </c>
      <c r="BI119">
        <v>165</v>
      </c>
      <c r="BJ119">
        <v>3.508772</v>
      </c>
      <c r="BK119">
        <v>55</v>
      </c>
      <c r="BL119">
        <v>2.265E-2</v>
      </c>
      <c r="BM119">
        <v>1.3390000000000001E-2</v>
      </c>
      <c r="BN119">
        <v>-1</v>
      </c>
      <c r="BO119">
        <v>3</v>
      </c>
      <c r="BP119">
        <v>1</v>
      </c>
      <c r="BQ119">
        <v>0.44999800000000001</v>
      </c>
      <c r="BR119">
        <v>156.914185</v>
      </c>
      <c r="BS119">
        <v>79.858756999999997</v>
      </c>
      <c r="BT119">
        <v>1.8320000000000001E-3</v>
      </c>
      <c r="BU119">
        <v>36.567680000000003</v>
      </c>
      <c r="BV119">
        <v>5.1624340000000002</v>
      </c>
      <c r="BW119">
        <v>18.462126000000001</v>
      </c>
      <c r="BX119">
        <v>6.5303E-2</v>
      </c>
      <c r="BY119">
        <v>6.8788000000000002E-2</v>
      </c>
      <c r="BZ119">
        <v>0.98680400000000001</v>
      </c>
      <c r="CA119">
        <v>2020</v>
      </c>
      <c r="CB119">
        <v>2</v>
      </c>
      <c r="CC119">
        <v>7</v>
      </c>
      <c r="CD119">
        <v>5</v>
      </c>
      <c r="CE119">
        <v>42</v>
      </c>
      <c r="CF119">
        <v>8.2099980000000006</v>
      </c>
      <c r="CG119">
        <v>2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0.49055900000000002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</row>
    <row r="120" spans="1:105" x14ac:dyDescent="0.25">
      <c r="A120">
        <v>119</v>
      </c>
      <c r="B120" t="s">
        <v>254</v>
      </c>
      <c r="C120">
        <v>58890.104812999998</v>
      </c>
      <c r="D120">
        <v>321.54345699999999</v>
      </c>
      <c r="E120" s="2" t="s">
        <v>111</v>
      </c>
      <c r="F120" s="2" t="s">
        <v>110</v>
      </c>
      <c r="G120">
        <v>-3.2075710000000002</v>
      </c>
      <c r="H120">
        <v>230.49366800000001</v>
      </c>
      <c r="I120">
        <v>3.9970409999999998</v>
      </c>
      <c r="J120">
        <v>230.64378400000001</v>
      </c>
      <c r="K120">
        <v>3.509296</v>
      </c>
      <c r="L120">
        <v>227.20950300000001</v>
      </c>
      <c r="M120">
        <v>21.291933</v>
      </c>
      <c r="N120">
        <v>61.949455</v>
      </c>
      <c r="O120">
        <v>61.949455</v>
      </c>
      <c r="P120">
        <v>60.694831999999998</v>
      </c>
      <c r="Q120">
        <v>34.482703999999998</v>
      </c>
      <c r="R120">
        <v>1.4567209999999999</v>
      </c>
      <c r="S120">
        <v>0.96084700000000001</v>
      </c>
      <c r="T120">
        <v>0.34040399999999998</v>
      </c>
      <c r="U120">
        <v>1.758893</v>
      </c>
      <c r="V120">
        <v>206.290344</v>
      </c>
      <c r="W120">
        <v>321.54342700000001</v>
      </c>
      <c r="X120">
        <v>139.95358300000001</v>
      </c>
      <c r="Y120" t="s">
        <v>114</v>
      </c>
      <c r="Z120">
        <v>-1</v>
      </c>
      <c r="AA120">
        <v>-1</v>
      </c>
      <c r="AB120">
        <v>-1.3</v>
      </c>
      <c r="AC120">
        <v>5.1927500000000002</v>
      </c>
      <c r="AD120">
        <v>0.4</v>
      </c>
      <c r="AE120">
        <v>13.07</v>
      </c>
      <c r="AF120">
        <v>0</v>
      </c>
      <c r="AG120">
        <v>317.05282599999998</v>
      </c>
      <c r="AH120">
        <v>-40.660426999999999</v>
      </c>
      <c r="AI120">
        <v>324.631439</v>
      </c>
      <c r="AJ120">
        <v>-31.880136</v>
      </c>
      <c r="AK120">
        <v>280.64233400000001</v>
      </c>
      <c r="AL120">
        <v>43.135838</v>
      </c>
      <c r="AM120">
        <v>51.579788000000001</v>
      </c>
      <c r="AN120">
        <v>25.100403</v>
      </c>
      <c r="AO120">
        <v>1.496138</v>
      </c>
      <c r="AP120">
        <v>52.138412000000002</v>
      </c>
      <c r="AQ120">
        <v>108.841042</v>
      </c>
      <c r="AR120">
        <v>246.609238</v>
      </c>
      <c r="AS120">
        <v>59.060386999999999</v>
      </c>
      <c r="AT120">
        <v>1.8817299999999999</v>
      </c>
      <c r="AU120">
        <v>287.23828099999997</v>
      </c>
      <c r="AV120">
        <v>45.288857</v>
      </c>
      <c r="AW120">
        <v>1.220645</v>
      </c>
      <c r="AX120">
        <v>52.237968000000002</v>
      </c>
      <c r="AY120">
        <v>97.890525999999994</v>
      </c>
      <c r="AZ120">
        <v>234.83300800000001</v>
      </c>
      <c r="BA120">
        <v>64.253135999999998</v>
      </c>
      <c r="BB120">
        <v>1.9761299999999999</v>
      </c>
      <c r="BC120">
        <v>24.779781</v>
      </c>
      <c r="BD120">
        <v>120.446091</v>
      </c>
      <c r="BE120">
        <v>26.129204000000001</v>
      </c>
      <c r="BF120">
        <v>25.342796</v>
      </c>
      <c r="BG120">
        <v>24.854448000000001</v>
      </c>
      <c r="BH120">
        <v>21</v>
      </c>
      <c r="BI120">
        <v>21</v>
      </c>
      <c r="BJ120">
        <v>0</v>
      </c>
      <c r="BK120">
        <v>63</v>
      </c>
      <c r="BL120">
        <v>2.164E-2</v>
      </c>
      <c r="BM120">
        <v>1.0370000000000001E-2</v>
      </c>
      <c r="BN120">
        <v>-1</v>
      </c>
      <c r="BO120">
        <v>3</v>
      </c>
      <c r="BP120">
        <v>1</v>
      </c>
      <c r="BQ120">
        <v>3.0699990000000001</v>
      </c>
      <c r="BR120">
        <v>105.11901899999999</v>
      </c>
      <c r="BS120">
        <v>2.1940390000000001</v>
      </c>
      <c r="BT120">
        <v>1.0392999999999999E-2</v>
      </c>
      <c r="BU120">
        <v>62.031829999999999</v>
      </c>
      <c r="BV120">
        <v>6.2660549999999997</v>
      </c>
      <c r="BW120">
        <v>0.51022900000000004</v>
      </c>
      <c r="BX120">
        <v>7.7256010000000002</v>
      </c>
      <c r="BY120">
        <v>224.03997799999999</v>
      </c>
      <c r="BZ120">
        <v>8.7231000000000003E-2</v>
      </c>
      <c r="CA120">
        <v>2020</v>
      </c>
      <c r="CB120">
        <v>2</v>
      </c>
      <c r="CC120">
        <v>11</v>
      </c>
      <c r="CD120">
        <v>2</v>
      </c>
      <c r="CE120">
        <v>30</v>
      </c>
      <c r="CF120">
        <v>55.880001</v>
      </c>
      <c r="CG120">
        <v>2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0.686473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</row>
    <row r="121" spans="1:105" x14ac:dyDescent="0.25">
      <c r="A121">
        <v>120</v>
      </c>
      <c r="B121" t="s">
        <v>255</v>
      </c>
      <c r="C121">
        <v>58890.185638000003</v>
      </c>
      <c r="D121">
        <v>321.62524400000001</v>
      </c>
      <c r="E121" s="3" t="s">
        <v>111</v>
      </c>
      <c r="F121" s="3" t="s">
        <v>110</v>
      </c>
      <c r="G121">
        <v>-1.500113</v>
      </c>
      <c r="H121">
        <v>241.439941</v>
      </c>
      <c r="I121">
        <v>-9.2639600000000009</v>
      </c>
      <c r="J121">
        <v>241.44476299999999</v>
      </c>
      <c r="K121">
        <v>-9.8394689999999994</v>
      </c>
      <c r="L121">
        <v>241.34913599999999</v>
      </c>
      <c r="M121">
        <v>10.802516000000001</v>
      </c>
      <c r="N121">
        <v>64.399033000000003</v>
      </c>
      <c r="O121">
        <v>64.399033000000003</v>
      </c>
      <c r="P121">
        <v>63.253639</v>
      </c>
      <c r="Q121">
        <v>34.971203000000003</v>
      </c>
      <c r="R121">
        <v>1.5427390000000001</v>
      </c>
      <c r="S121">
        <v>0.83068200000000003</v>
      </c>
      <c r="T121">
        <v>0.46155400000000002</v>
      </c>
      <c r="U121">
        <v>1.9169609999999999</v>
      </c>
      <c r="V121">
        <v>119.938423</v>
      </c>
      <c r="W121">
        <v>321.62515300000001</v>
      </c>
      <c r="X121">
        <v>159.11613500000001</v>
      </c>
      <c r="Y121" t="s">
        <v>114</v>
      </c>
      <c r="Z121">
        <v>-1</v>
      </c>
      <c r="AA121">
        <v>-1</v>
      </c>
      <c r="AB121">
        <v>-0.2</v>
      </c>
      <c r="AC121">
        <v>12.20232</v>
      </c>
      <c r="AD121">
        <v>0.62</v>
      </c>
      <c r="AE121">
        <v>19.715</v>
      </c>
      <c r="AF121">
        <v>0</v>
      </c>
      <c r="AG121">
        <v>155.80954</v>
      </c>
      <c r="AH121">
        <v>25.037593999999999</v>
      </c>
      <c r="AI121">
        <v>300.19650300000001</v>
      </c>
      <c r="AJ121">
        <v>-21.441161999999998</v>
      </c>
      <c r="AK121">
        <v>331.10672</v>
      </c>
      <c r="AL121">
        <v>64.888237000000004</v>
      </c>
      <c r="AM121">
        <v>24.629351</v>
      </c>
      <c r="AN121">
        <v>33.495730999999999</v>
      </c>
      <c r="AO121">
        <v>-0.13047800000000001</v>
      </c>
      <c r="AP121">
        <v>52.125160000000001</v>
      </c>
      <c r="AQ121">
        <v>99.420433000000003</v>
      </c>
      <c r="AR121">
        <v>177.00630200000001</v>
      </c>
      <c r="AS121">
        <v>98.240654000000006</v>
      </c>
      <c r="AT121">
        <v>2.6104759999999998</v>
      </c>
      <c r="AU121">
        <v>358.85949699999998</v>
      </c>
      <c r="AV121">
        <v>63.086086000000002</v>
      </c>
      <c r="AW121">
        <v>-0.450102</v>
      </c>
      <c r="AX121">
        <v>52.387946999999997</v>
      </c>
      <c r="AY121">
        <v>84.547034999999994</v>
      </c>
      <c r="AZ121">
        <v>186.952789</v>
      </c>
      <c r="BA121">
        <v>110.442978</v>
      </c>
      <c r="BB121">
        <v>2.4715020000000001</v>
      </c>
      <c r="BC121">
        <v>39.927402000000001</v>
      </c>
      <c r="BD121">
        <v>143.18467699999999</v>
      </c>
      <c r="BE121">
        <v>21.882034000000001</v>
      </c>
      <c r="BF121">
        <v>22.488516000000001</v>
      </c>
      <c r="BG121">
        <v>21.956886000000001</v>
      </c>
      <c r="BH121">
        <v>32</v>
      </c>
      <c r="BI121">
        <v>32</v>
      </c>
      <c r="BJ121">
        <v>0</v>
      </c>
      <c r="BK121">
        <v>75</v>
      </c>
      <c r="BL121">
        <v>2.0729999999999998E-2</v>
      </c>
      <c r="BM121">
        <v>9.6200000000000001E-3</v>
      </c>
      <c r="BN121">
        <v>-1</v>
      </c>
      <c r="BO121">
        <v>3</v>
      </c>
      <c r="BP121">
        <v>1</v>
      </c>
      <c r="BQ121">
        <v>2.910002</v>
      </c>
      <c r="BR121">
        <v>105.11901899999999</v>
      </c>
      <c r="BS121">
        <v>2.637731</v>
      </c>
      <c r="BT121">
        <v>1.1561999999999999E-2</v>
      </c>
      <c r="BU121">
        <v>72.698607999999993</v>
      </c>
      <c r="BV121">
        <v>1.794146</v>
      </c>
      <c r="BW121">
        <v>0.57552899999999996</v>
      </c>
      <c r="BX121">
        <v>4.4114570000000004</v>
      </c>
      <c r="BY121">
        <v>102.300652</v>
      </c>
      <c r="BZ121">
        <v>9.9353999999999998E-2</v>
      </c>
      <c r="CA121">
        <v>2020</v>
      </c>
      <c r="CB121">
        <v>2</v>
      </c>
      <c r="CC121">
        <v>11</v>
      </c>
      <c r="CD121">
        <v>4</v>
      </c>
      <c r="CE121">
        <v>27</v>
      </c>
      <c r="CF121">
        <v>19.130001</v>
      </c>
      <c r="CG121">
        <v>2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0.64819800000000005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25">
      <c r="A122">
        <v>121</v>
      </c>
      <c r="B122" t="s">
        <v>256</v>
      </c>
      <c r="C122">
        <v>58890.218243000003</v>
      </c>
      <c r="D122">
        <v>321.65820300000001</v>
      </c>
      <c r="E122" s="3" t="s">
        <v>111</v>
      </c>
      <c r="F122" s="3" t="s">
        <v>110</v>
      </c>
      <c r="G122">
        <v>-2.2100979999999999</v>
      </c>
      <c r="H122">
        <v>226.44148300000001</v>
      </c>
      <c r="I122">
        <v>-24.456890000000001</v>
      </c>
      <c r="J122">
        <v>226.230728</v>
      </c>
      <c r="K122">
        <v>-25.010228999999999</v>
      </c>
      <c r="L122">
        <v>230.797775</v>
      </c>
      <c r="M122">
        <v>-7.3318219999999998</v>
      </c>
      <c r="N122">
        <v>72.602798000000007</v>
      </c>
      <c r="O122">
        <v>72.602798000000007</v>
      </c>
      <c r="P122">
        <v>71.699264999999997</v>
      </c>
      <c r="Q122">
        <v>41.954895</v>
      </c>
      <c r="R122">
        <v>23.471789999999999</v>
      </c>
      <c r="S122">
        <v>0.98646699999999998</v>
      </c>
      <c r="T122">
        <v>0.95797200000000005</v>
      </c>
      <c r="U122">
        <v>113.761177</v>
      </c>
      <c r="V122">
        <v>2.0941869999999998</v>
      </c>
      <c r="W122">
        <v>141.658356</v>
      </c>
      <c r="X122">
        <v>167.40158099999999</v>
      </c>
      <c r="Y122" t="s">
        <v>114</v>
      </c>
      <c r="Z122">
        <v>-1</v>
      </c>
      <c r="AA122">
        <v>-1</v>
      </c>
      <c r="AB122">
        <v>-0.8</v>
      </c>
      <c r="AC122">
        <v>7.9083800000000002</v>
      </c>
      <c r="AD122">
        <v>0.38</v>
      </c>
      <c r="AE122">
        <v>20.722000000000001</v>
      </c>
      <c r="AF122">
        <v>0</v>
      </c>
      <c r="AG122">
        <v>336.367615</v>
      </c>
      <c r="AH122">
        <v>-36.845286999999999</v>
      </c>
      <c r="AI122">
        <v>275.42394999999999</v>
      </c>
      <c r="AJ122">
        <v>-3.7105329999999999</v>
      </c>
      <c r="AK122">
        <v>307.57382200000001</v>
      </c>
      <c r="AL122">
        <v>49.467956999999998</v>
      </c>
      <c r="AM122">
        <v>53.829833999999998</v>
      </c>
      <c r="AN122">
        <v>36.499279000000001</v>
      </c>
      <c r="AO122">
        <v>0.71176799999999996</v>
      </c>
      <c r="AP122">
        <v>51.711562999999998</v>
      </c>
      <c r="AQ122">
        <v>113.473343</v>
      </c>
      <c r="AR122">
        <v>187.42207300000001</v>
      </c>
      <c r="AS122">
        <v>102.91310900000001</v>
      </c>
      <c r="AT122">
        <v>7.1822369999999998</v>
      </c>
      <c r="AU122">
        <v>319.45605499999999</v>
      </c>
      <c r="AV122">
        <v>51.931998999999998</v>
      </c>
      <c r="AW122">
        <v>0.67164199999999996</v>
      </c>
      <c r="AX122">
        <v>51.947071000000001</v>
      </c>
      <c r="AY122">
        <v>107.028961</v>
      </c>
      <c r="AZ122">
        <v>195.446304</v>
      </c>
      <c r="BA122">
        <v>110.821487</v>
      </c>
      <c r="BB122">
        <v>6.8859050000000002</v>
      </c>
      <c r="BC122">
        <v>27.589064</v>
      </c>
      <c r="BD122">
        <v>173.72486900000001</v>
      </c>
      <c r="BE122">
        <v>13.527075999999999</v>
      </c>
      <c r="BF122">
        <v>14.160228</v>
      </c>
      <c r="BG122">
        <v>13.62698</v>
      </c>
      <c r="BH122">
        <v>20</v>
      </c>
      <c r="BI122">
        <v>20</v>
      </c>
      <c r="BJ122">
        <v>0</v>
      </c>
      <c r="BK122">
        <v>74</v>
      </c>
      <c r="BL122">
        <v>2.349E-2</v>
      </c>
      <c r="BM122">
        <v>5.5700000000000003E-3</v>
      </c>
      <c r="BN122">
        <v>-1</v>
      </c>
      <c r="BO122">
        <v>3</v>
      </c>
      <c r="BP122">
        <v>1</v>
      </c>
      <c r="BQ122">
        <v>3.330006</v>
      </c>
      <c r="BR122">
        <v>105.11901899999999</v>
      </c>
      <c r="BS122">
        <v>7.3696149999999996</v>
      </c>
      <c r="BT122">
        <v>1.3856E-2</v>
      </c>
      <c r="BU122">
        <v>28.506971</v>
      </c>
      <c r="BV122">
        <v>1.459336</v>
      </c>
      <c r="BW122">
        <v>0.58551299999999995</v>
      </c>
      <c r="BX122">
        <v>2.7022970000000002</v>
      </c>
      <c r="BY122">
        <v>22.53931</v>
      </c>
      <c r="BZ122">
        <v>0.61383600000000005</v>
      </c>
      <c r="CA122">
        <v>2020</v>
      </c>
      <c r="CB122">
        <v>2</v>
      </c>
      <c r="CC122">
        <v>11</v>
      </c>
      <c r="CD122">
        <v>5</v>
      </c>
      <c r="CE122">
        <v>14</v>
      </c>
      <c r="CF122">
        <v>16.189999</v>
      </c>
      <c r="CG122">
        <v>2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4.2604000000000003E-2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25">
      <c r="A123">
        <v>122</v>
      </c>
      <c r="B123" t="s">
        <v>257</v>
      </c>
      <c r="C123">
        <v>58890.776899999997</v>
      </c>
      <c r="D123">
        <v>322.223297</v>
      </c>
      <c r="E123" s="3" t="s">
        <v>242</v>
      </c>
      <c r="F123" s="3" t="s">
        <v>106</v>
      </c>
      <c r="G123">
        <v>-0.54793999999999998</v>
      </c>
      <c r="H123">
        <v>180.75091599999999</v>
      </c>
      <c r="I123">
        <v>57.185805999999999</v>
      </c>
      <c r="J123">
        <v>183.60734600000001</v>
      </c>
      <c r="K123">
        <v>55.823925000000003</v>
      </c>
      <c r="L123">
        <v>152.11686700000001</v>
      </c>
      <c r="M123">
        <v>50.634838000000002</v>
      </c>
      <c r="N123">
        <v>32.697741999999998</v>
      </c>
      <c r="O123">
        <v>32.697741999999998</v>
      </c>
      <c r="P123">
        <v>30.585813999999999</v>
      </c>
      <c r="Q123">
        <v>40.399036000000002</v>
      </c>
      <c r="R123">
        <v>5.3525729999999996</v>
      </c>
      <c r="S123">
        <v>0.75545300000000004</v>
      </c>
      <c r="T123">
        <v>0.85886200000000001</v>
      </c>
      <c r="U123">
        <v>12.388498999999999</v>
      </c>
      <c r="V123">
        <v>240.49923699999999</v>
      </c>
      <c r="W123">
        <v>322.22332799999998</v>
      </c>
      <c r="X123">
        <v>41.389904000000001</v>
      </c>
      <c r="Y123" t="s">
        <v>114</v>
      </c>
      <c r="Z123">
        <v>-1</v>
      </c>
      <c r="AA123">
        <v>-1</v>
      </c>
      <c r="AB123">
        <v>0.2</v>
      </c>
      <c r="AC123">
        <v>2.6489280000000002</v>
      </c>
      <c r="AD123">
        <v>0.26</v>
      </c>
      <c r="AE123">
        <v>10.193</v>
      </c>
      <c r="AF123">
        <v>0</v>
      </c>
      <c r="AG123">
        <v>3.7745440000000001</v>
      </c>
      <c r="AH123">
        <v>32.777850999999998</v>
      </c>
      <c r="AI123">
        <v>62.915954999999997</v>
      </c>
      <c r="AJ123">
        <v>-19.301425999999999</v>
      </c>
      <c r="AK123">
        <v>117.87648799999999</v>
      </c>
      <c r="AL123">
        <v>32.382511000000001</v>
      </c>
      <c r="AM123">
        <v>88.735473999999996</v>
      </c>
      <c r="AN123">
        <v>42.681807999999997</v>
      </c>
      <c r="AO123">
        <v>358.24847399999999</v>
      </c>
      <c r="AP123">
        <v>50.698822</v>
      </c>
      <c r="AQ123">
        <v>98.980179000000007</v>
      </c>
      <c r="AR123">
        <v>143.84610000000001</v>
      </c>
      <c r="AS123">
        <v>48.793968</v>
      </c>
      <c r="AT123">
        <v>44.920425000000002</v>
      </c>
      <c r="AU123">
        <v>115.909271</v>
      </c>
      <c r="AV123">
        <v>30.334198000000001</v>
      </c>
      <c r="AW123">
        <v>358.19375600000001</v>
      </c>
      <c r="AX123">
        <v>50.642100999999997</v>
      </c>
      <c r="AY123">
        <v>94.981482999999997</v>
      </c>
      <c r="AZ123">
        <v>138.39350899999999</v>
      </c>
      <c r="BA123">
        <v>51.442894000000003</v>
      </c>
      <c r="BB123">
        <v>47.218120999999996</v>
      </c>
      <c r="BC123">
        <v>8.5014120000000002</v>
      </c>
      <c r="BD123">
        <v>31.531305</v>
      </c>
      <c r="BE123">
        <v>27.919809000000001</v>
      </c>
      <c r="BF123">
        <v>27.429033</v>
      </c>
      <c r="BG123">
        <v>25.404543</v>
      </c>
      <c r="BH123">
        <v>14</v>
      </c>
      <c r="BI123">
        <v>10</v>
      </c>
      <c r="BJ123">
        <v>28.571428000000001</v>
      </c>
      <c r="BK123">
        <v>0</v>
      </c>
      <c r="BL123">
        <v>0.1</v>
      </c>
      <c r="BM123">
        <v>1.3769999999999999E-2</v>
      </c>
      <c r="BN123">
        <v>-1</v>
      </c>
      <c r="BO123">
        <v>3</v>
      </c>
      <c r="BP123">
        <v>1</v>
      </c>
      <c r="BQ123">
        <v>0.97999899999999995</v>
      </c>
      <c r="BR123">
        <v>156.91645800000001</v>
      </c>
      <c r="BS123">
        <v>69.811684</v>
      </c>
      <c r="BT123">
        <v>3.8990000000000001E-3</v>
      </c>
      <c r="BU123">
        <v>20.431269</v>
      </c>
      <c r="BV123">
        <v>0.61997500000000005</v>
      </c>
      <c r="BW123">
        <v>2.0828769999999999</v>
      </c>
      <c r="BX123">
        <v>2.1452969999999998</v>
      </c>
      <c r="BY123">
        <v>2.922968</v>
      </c>
      <c r="BZ123">
        <v>0.856595</v>
      </c>
      <c r="CA123">
        <v>2020</v>
      </c>
      <c r="CB123">
        <v>2</v>
      </c>
      <c r="CC123">
        <v>11</v>
      </c>
      <c r="CD123">
        <v>18</v>
      </c>
      <c r="CE123">
        <v>38</v>
      </c>
      <c r="CF123">
        <v>44.139999000000003</v>
      </c>
      <c r="CG123">
        <v>2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0.18682599999999999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4" spans="1:105" x14ac:dyDescent="0.25">
      <c r="A124">
        <v>123</v>
      </c>
      <c r="B124" t="s">
        <v>258</v>
      </c>
      <c r="C124">
        <v>58891.221129999998</v>
      </c>
      <c r="D124">
        <v>322.67257699999999</v>
      </c>
      <c r="E124" s="2" t="s">
        <v>106</v>
      </c>
      <c r="F124" s="2" t="s">
        <v>125</v>
      </c>
      <c r="G124">
        <v>3.9244000000000001E-2</v>
      </c>
      <c r="H124">
        <v>243.22563199999999</v>
      </c>
      <c r="I124">
        <v>22.269258000000001</v>
      </c>
      <c r="J124">
        <v>243.09728999999999</v>
      </c>
      <c r="K124">
        <v>21.984755</v>
      </c>
      <c r="L124">
        <v>235.470505</v>
      </c>
      <c r="M124">
        <v>42.250565000000002</v>
      </c>
      <c r="N124">
        <v>56.023150999999999</v>
      </c>
      <c r="O124">
        <v>56.023150999999999</v>
      </c>
      <c r="P124">
        <v>54.789375</v>
      </c>
      <c r="Q124">
        <v>38.333302000000003</v>
      </c>
      <c r="R124">
        <v>2.702788</v>
      </c>
      <c r="S124">
        <v>0.98238099999999995</v>
      </c>
      <c r="T124">
        <v>0.63653000000000004</v>
      </c>
      <c r="U124">
        <v>4.445214</v>
      </c>
      <c r="V124">
        <v>171.12661700000001</v>
      </c>
      <c r="W124">
        <v>322.67257699999999</v>
      </c>
      <c r="X124">
        <v>105.68486799999999</v>
      </c>
      <c r="Y124" t="s">
        <v>259</v>
      </c>
      <c r="Z124">
        <v>3.385364</v>
      </c>
      <c r="AA124">
        <v>3.1989809999999999</v>
      </c>
      <c r="AB124">
        <v>1</v>
      </c>
      <c r="AC124">
        <v>2.4669430000000001</v>
      </c>
      <c r="AD124">
        <v>0.12</v>
      </c>
      <c r="AE124">
        <v>20.905000999999999</v>
      </c>
      <c r="AF124">
        <v>0</v>
      </c>
      <c r="AG124">
        <v>341.22610500000002</v>
      </c>
      <c r="AH124">
        <v>18.771795000000001</v>
      </c>
      <c r="AI124">
        <v>302.42456099999998</v>
      </c>
      <c r="AJ124">
        <v>-23.931941999999999</v>
      </c>
      <c r="AK124">
        <v>116.34126999999999</v>
      </c>
      <c r="AL124">
        <v>64.373076999999995</v>
      </c>
      <c r="AM124">
        <v>326.911835</v>
      </c>
      <c r="AN124">
        <v>39.492733000000001</v>
      </c>
      <c r="AO124">
        <v>-1.9543440000000001</v>
      </c>
      <c r="AP124">
        <v>51.833855</v>
      </c>
      <c r="AQ124">
        <v>100.16433000000001</v>
      </c>
      <c r="AR124">
        <v>155.91978499999999</v>
      </c>
      <c r="AS124">
        <v>84.177299000000005</v>
      </c>
      <c r="AT124">
        <v>30.079764999999998</v>
      </c>
      <c r="AU124">
        <v>112.34176600000001</v>
      </c>
      <c r="AV124">
        <v>62.667285999999997</v>
      </c>
      <c r="AW124">
        <v>-1.9903040000000001</v>
      </c>
      <c r="AX124">
        <v>51.859371000000003</v>
      </c>
      <c r="AY124">
        <v>94.645743999999993</v>
      </c>
      <c r="AZ124">
        <v>155.381775</v>
      </c>
      <c r="BA124">
        <v>86.644249000000002</v>
      </c>
      <c r="BB124">
        <v>30.194739999999999</v>
      </c>
      <c r="BC124">
        <v>6.7227779999999999</v>
      </c>
      <c r="BD124">
        <v>138.797394</v>
      </c>
      <c r="BE124">
        <v>55.054180000000002</v>
      </c>
      <c r="BF124">
        <v>56.112487999999999</v>
      </c>
      <c r="BG124">
        <v>55.909244999999999</v>
      </c>
      <c r="BH124">
        <v>7</v>
      </c>
      <c r="BI124">
        <v>7</v>
      </c>
      <c r="BJ124">
        <v>0</v>
      </c>
      <c r="BK124">
        <v>44</v>
      </c>
      <c r="BL124">
        <v>2.5829999999999999E-2</v>
      </c>
      <c r="BM124">
        <v>1.278E-2</v>
      </c>
      <c r="BN124">
        <v>-1</v>
      </c>
      <c r="BO124">
        <v>3</v>
      </c>
      <c r="BP124">
        <v>1</v>
      </c>
      <c r="BQ124">
        <v>0.159997</v>
      </c>
      <c r="BR124">
        <v>105.11901899999999</v>
      </c>
      <c r="BS124">
        <v>30.252023999999999</v>
      </c>
      <c r="BT124">
        <v>8.9470000000000001E-3</v>
      </c>
      <c r="BU124">
        <v>0.67337100000000005</v>
      </c>
      <c r="BV124">
        <v>7.8810229999999999</v>
      </c>
      <c r="BW124">
        <v>0.30834600000000001</v>
      </c>
      <c r="BX124">
        <v>2.137451</v>
      </c>
      <c r="BY124">
        <v>4.2499079999999996</v>
      </c>
      <c r="BZ124">
        <v>0.86886699999999994</v>
      </c>
      <c r="CA124">
        <v>2020</v>
      </c>
      <c r="CB124">
        <v>2</v>
      </c>
      <c r="CC124">
        <v>12</v>
      </c>
      <c r="CD124">
        <v>5</v>
      </c>
      <c r="CE124">
        <v>18</v>
      </c>
      <c r="CF124">
        <v>25.6</v>
      </c>
      <c r="CG124">
        <v>2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0.36998799999999998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</row>
    <row r="125" spans="1:105" x14ac:dyDescent="0.25">
      <c r="A125">
        <v>124</v>
      </c>
      <c r="B125" t="s">
        <v>260</v>
      </c>
      <c r="C125">
        <v>58893.154610999998</v>
      </c>
      <c r="D125">
        <v>324.627319</v>
      </c>
      <c r="E125" s="2" t="s">
        <v>107</v>
      </c>
      <c r="F125" s="2" t="s">
        <v>106</v>
      </c>
      <c r="G125">
        <v>-1.9866919999999999</v>
      </c>
      <c r="H125">
        <v>240.423981</v>
      </c>
      <c r="I125">
        <v>25.595911000000001</v>
      </c>
      <c r="J125">
        <v>240.46855199999999</v>
      </c>
      <c r="K125">
        <v>25.387405000000001</v>
      </c>
      <c r="L125">
        <v>231.040009</v>
      </c>
      <c r="M125">
        <v>44.911186000000001</v>
      </c>
      <c r="N125">
        <v>60.085194000000001</v>
      </c>
      <c r="O125">
        <v>60.085194000000001</v>
      </c>
      <c r="P125">
        <v>58.847450000000002</v>
      </c>
      <c r="Q125">
        <v>43.151595999999998</v>
      </c>
      <c r="R125">
        <v>-13.633146999999999</v>
      </c>
      <c r="S125">
        <v>0.98472099999999996</v>
      </c>
      <c r="T125">
        <v>1.07223</v>
      </c>
      <c r="U125">
        <v>0</v>
      </c>
      <c r="V125">
        <v>185.81463600000001</v>
      </c>
      <c r="W125">
        <v>324.627319</v>
      </c>
      <c r="X125">
        <v>105.392464</v>
      </c>
      <c r="Y125" t="s">
        <v>259</v>
      </c>
      <c r="Z125">
        <v>5.9678940000000003</v>
      </c>
      <c r="AA125">
        <v>3.9707629999999998</v>
      </c>
      <c r="AB125">
        <v>-0.6</v>
      </c>
      <c r="AC125">
        <v>1.5627709999999999</v>
      </c>
      <c r="AD125">
        <v>0.12</v>
      </c>
      <c r="AE125">
        <v>12.984999999999999</v>
      </c>
      <c r="AF125">
        <v>0</v>
      </c>
      <c r="AG125">
        <v>125.268303</v>
      </c>
      <c r="AH125">
        <v>41.584923000000003</v>
      </c>
      <c r="AI125">
        <v>330.952698</v>
      </c>
      <c r="AJ125">
        <v>-35.125252000000003</v>
      </c>
      <c r="AK125">
        <v>290.76391599999999</v>
      </c>
      <c r="AL125">
        <v>47.492125999999999</v>
      </c>
      <c r="AM125">
        <v>52.768107999999998</v>
      </c>
      <c r="AN125">
        <v>32.327522000000002</v>
      </c>
      <c r="AO125">
        <v>-1.3864320000000001</v>
      </c>
      <c r="AP125">
        <v>51.541854999999998</v>
      </c>
      <c r="AQ125">
        <v>104.87191</v>
      </c>
      <c r="AR125">
        <v>191.89743000000001</v>
      </c>
      <c r="AS125">
        <v>44.975765000000003</v>
      </c>
      <c r="AT125">
        <v>38.205376000000001</v>
      </c>
      <c r="AU125">
        <v>293.04791299999999</v>
      </c>
      <c r="AV125">
        <v>47.762295000000002</v>
      </c>
      <c r="AW125">
        <v>-1.4488110000000001</v>
      </c>
      <c r="AX125">
        <v>51.557755</v>
      </c>
      <c r="AY125">
        <v>99.452933999999999</v>
      </c>
      <c r="AZ125">
        <v>186.86637899999999</v>
      </c>
      <c r="BA125">
        <v>46.538536000000001</v>
      </c>
      <c r="BB125">
        <v>39.429901000000001</v>
      </c>
      <c r="BC125">
        <v>7.210223</v>
      </c>
      <c r="BD125">
        <v>112.291595</v>
      </c>
      <c r="BE125">
        <v>48.582169</v>
      </c>
      <c r="BF125">
        <v>47.811810000000001</v>
      </c>
      <c r="BG125">
        <v>47.628543999999998</v>
      </c>
      <c r="BH125">
        <v>7</v>
      </c>
      <c r="BI125">
        <v>7</v>
      </c>
      <c r="BJ125">
        <v>0</v>
      </c>
      <c r="BK125">
        <v>10</v>
      </c>
      <c r="BL125">
        <v>3.6429999999999997E-2</v>
      </c>
      <c r="BM125">
        <v>1.6109999999999999E-2</v>
      </c>
      <c r="BN125">
        <v>-1</v>
      </c>
      <c r="BO125">
        <v>3</v>
      </c>
      <c r="BP125">
        <v>1</v>
      </c>
      <c r="BQ125">
        <v>0.28999999999999998</v>
      </c>
      <c r="BR125">
        <v>156.88954200000001</v>
      </c>
      <c r="BS125">
        <v>61.049236000000001</v>
      </c>
      <c r="BT125">
        <v>9.9799999999999997E-4</v>
      </c>
      <c r="BU125">
        <v>56.865608000000002</v>
      </c>
      <c r="BV125">
        <v>1.7353099999999999</v>
      </c>
      <c r="BW125">
        <v>0.21235200000000001</v>
      </c>
      <c r="BX125">
        <v>1.44702</v>
      </c>
      <c r="BY125">
        <v>2.278292</v>
      </c>
      <c r="BZ125">
        <v>0.59270599999999996</v>
      </c>
      <c r="CA125">
        <v>2020</v>
      </c>
      <c r="CB125">
        <v>2</v>
      </c>
      <c r="CC125">
        <v>14</v>
      </c>
      <c r="CD125">
        <v>3</v>
      </c>
      <c r="CE125">
        <v>42</v>
      </c>
      <c r="CF125">
        <v>38.429996000000003</v>
      </c>
      <c r="CG125">
        <v>2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-7.3351E-2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</row>
    <row r="126" spans="1:105" x14ac:dyDescent="0.25">
      <c r="A126">
        <v>125</v>
      </c>
      <c r="B126" t="s">
        <v>261</v>
      </c>
      <c r="C126">
        <v>58893.180130000001</v>
      </c>
      <c r="D126">
        <v>324.65310699999998</v>
      </c>
      <c r="E126" s="2" t="s">
        <v>107</v>
      </c>
      <c r="F126" s="2" t="s">
        <v>106</v>
      </c>
      <c r="G126">
        <v>-2.8404980000000002</v>
      </c>
      <c r="H126">
        <v>204.59108000000001</v>
      </c>
      <c r="I126">
        <v>29.916639</v>
      </c>
      <c r="J126">
        <v>204.204376</v>
      </c>
      <c r="K126">
        <v>29.648619</v>
      </c>
      <c r="L126">
        <v>189.32548499999999</v>
      </c>
      <c r="M126">
        <v>36.554519999999997</v>
      </c>
      <c r="N126">
        <v>51.216918999999997</v>
      </c>
      <c r="O126">
        <v>51.216918999999997</v>
      </c>
      <c r="P126">
        <v>49.986007999999998</v>
      </c>
      <c r="Q126">
        <v>41.059638999999997</v>
      </c>
      <c r="R126">
        <v>7.9859819999999999</v>
      </c>
      <c r="S126">
        <v>0.50497599999999998</v>
      </c>
      <c r="T126">
        <v>0.93676700000000002</v>
      </c>
      <c r="U126">
        <v>22.577051000000001</v>
      </c>
      <c r="V126">
        <v>270.57818600000002</v>
      </c>
      <c r="W126">
        <v>324.65310699999998</v>
      </c>
      <c r="X126">
        <v>86.297668000000002</v>
      </c>
      <c r="Y126" t="s">
        <v>114</v>
      </c>
      <c r="Z126">
        <v>-1</v>
      </c>
      <c r="AA126">
        <v>-1</v>
      </c>
      <c r="AB126">
        <v>-2.2999999999999998</v>
      </c>
      <c r="AC126">
        <v>3.661321</v>
      </c>
      <c r="AD126">
        <v>0.18</v>
      </c>
      <c r="AE126">
        <v>20.941998999999999</v>
      </c>
      <c r="AF126">
        <v>0</v>
      </c>
      <c r="AG126">
        <v>121.181847</v>
      </c>
      <c r="AH126">
        <v>-11.280704999999999</v>
      </c>
      <c r="AI126">
        <v>265.78393599999998</v>
      </c>
      <c r="AJ126">
        <v>0.50505500000000003</v>
      </c>
      <c r="AK126">
        <v>113.69074999999999</v>
      </c>
      <c r="AL126">
        <v>78.624709999999993</v>
      </c>
      <c r="AM126">
        <v>342.37570199999999</v>
      </c>
      <c r="AN126">
        <v>49.160980000000002</v>
      </c>
      <c r="AO126">
        <v>-3.583081</v>
      </c>
      <c r="AP126">
        <v>51.41198</v>
      </c>
      <c r="AQ126">
        <v>99.098213000000001</v>
      </c>
      <c r="AR126">
        <v>130.375137</v>
      </c>
      <c r="AS126">
        <v>60.905192999999997</v>
      </c>
      <c r="AT126">
        <v>43.776015999999998</v>
      </c>
      <c r="AU126">
        <v>96.509345999999994</v>
      </c>
      <c r="AV126">
        <v>77.619431000000006</v>
      </c>
      <c r="AW126">
        <v>-3.582408</v>
      </c>
      <c r="AX126">
        <v>51.441665999999998</v>
      </c>
      <c r="AY126">
        <v>90.521133000000006</v>
      </c>
      <c r="AZ126">
        <v>126.14979599999999</v>
      </c>
      <c r="BA126">
        <v>64.566513</v>
      </c>
      <c r="BB126">
        <v>45.644343999999997</v>
      </c>
      <c r="BC126">
        <v>9.2190460000000005</v>
      </c>
      <c r="BD126">
        <v>180.25820899999999</v>
      </c>
      <c r="BE126">
        <v>68.402771000000001</v>
      </c>
      <c r="BF126">
        <v>69.123795000000001</v>
      </c>
      <c r="BG126">
        <v>68.848633000000007</v>
      </c>
      <c r="BH126">
        <v>10</v>
      </c>
      <c r="BI126">
        <v>8</v>
      </c>
      <c r="BJ126">
        <v>20</v>
      </c>
      <c r="BK126">
        <v>10</v>
      </c>
      <c r="BL126">
        <v>0.22939000000000001</v>
      </c>
      <c r="BM126">
        <v>1.8599999999999998E-2</v>
      </c>
      <c r="BN126">
        <v>-1</v>
      </c>
      <c r="BO126">
        <v>3</v>
      </c>
      <c r="BP126">
        <v>1</v>
      </c>
      <c r="BQ126">
        <v>0.39</v>
      </c>
      <c r="BR126">
        <v>156.88954200000001</v>
      </c>
      <c r="BS126">
        <v>52.349026000000002</v>
      </c>
      <c r="BT126">
        <v>1.6479999999999999E-3</v>
      </c>
      <c r="BU126">
        <v>75.996086000000005</v>
      </c>
      <c r="BV126">
        <v>3.859016</v>
      </c>
      <c r="BW126">
        <v>0.42951099999999998</v>
      </c>
      <c r="BX126">
        <v>5.2402660000000001</v>
      </c>
      <c r="BY126">
        <v>7.3289</v>
      </c>
      <c r="BZ126">
        <v>0.745807</v>
      </c>
      <c r="CA126">
        <v>2020</v>
      </c>
      <c r="CB126">
        <v>2</v>
      </c>
      <c r="CC126">
        <v>14</v>
      </c>
      <c r="CD126">
        <v>4</v>
      </c>
      <c r="CE126">
        <v>19</v>
      </c>
      <c r="CF126">
        <v>23.210003</v>
      </c>
      <c r="CG126">
        <v>2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0.125219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</row>
    <row r="127" spans="1:105" x14ac:dyDescent="0.25">
      <c r="A127">
        <v>126</v>
      </c>
      <c r="B127" t="s">
        <v>262</v>
      </c>
      <c r="C127">
        <v>58895.981587000002</v>
      </c>
      <c r="D127">
        <v>327.48327599999999</v>
      </c>
      <c r="E127" s="2" t="s">
        <v>106</v>
      </c>
      <c r="F127" s="2" t="s">
        <v>242</v>
      </c>
      <c r="G127">
        <v>-0.77245200000000003</v>
      </c>
      <c r="H127">
        <v>249.12794500000001</v>
      </c>
      <c r="I127">
        <v>47.077998999999998</v>
      </c>
      <c r="J127">
        <v>250.81179800000001</v>
      </c>
      <c r="K127">
        <v>46.147308000000002</v>
      </c>
      <c r="L127">
        <v>234.00950599999999</v>
      </c>
      <c r="M127">
        <v>67.201874000000004</v>
      </c>
      <c r="N127">
        <v>39.110759999999999</v>
      </c>
      <c r="O127">
        <v>39.110759999999999</v>
      </c>
      <c r="P127">
        <v>37.284348000000001</v>
      </c>
      <c r="Q127">
        <v>37.801029</v>
      </c>
      <c r="R127">
        <v>2.4170750000000001</v>
      </c>
      <c r="S127">
        <v>0.98767899999999997</v>
      </c>
      <c r="T127">
        <v>0.59137399999999996</v>
      </c>
      <c r="U127">
        <v>3.7593260000000002</v>
      </c>
      <c r="V127">
        <v>182.09625199999999</v>
      </c>
      <c r="W127">
        <v>327.48330700000002</v>
      </c>
      <c r="X127">
        <v>65.413200000000003</v>
      </c>
      <c r="Y127" t="s">
        <v>114</v>
      </c>
      <c r="Z127">
        <v>-1</v>
      </c>
      <c r="AA127">
        <v>-1</v>
      </c>
      <c r="AB127">
        <v>-0.1</v>
      </c>
      <c r="AC127">
        <v>14.45378</v>
      </c>
      <c r="AD127">
        <v>0.88</v>
      </c>
      <c r="AE127">
        <v>16.648001000000001</v>
      </c>
      <c r="AF127">
        <v>0</v>
      </c>
      <c r="AG127">
        <v>341.048676</v>
      </c>
      <c r="AH127">
        <v>1.7853110000000001</v>
      </c>
      <c r="AI127">
        <v>50.843273000000003</v>
      </c>
      <c r="AJ127">
        <v>-25.774713999999999</v>
      </c>
      <c r="AK127">
        <v>72.847572</v>
      </c>
      <c r="AL127">
        <v>45.203494999999997</v>
      </c>
      <c r="AM127">
        <v>289.03982500000001</v>
      </c>
      <c r="AN127">
        <v>47.294539999999998</v>
      </c>
      <c r="AO127">
        <v>357.758331</v>
      </c>
      <c r="AP127">
        <v>51.202582999999997</v>
      </c>
      <c r="AQ127">
        <v>99.499495999999994</v>
      </c>
      <c r="AR127">
        <v>134.82037399999999</v>
      </c>
      <c r="AS127">
        <v>87.660544999999999</v>
      </c>
      <c r="AT127">
        <v>47.574936000000001</v>
      </c>
      <c r="AU127">
        <v>72.111687000000003</v>
      </c>
      <c r="AV127">
        <v>30.761182999999999</v>
      </c>
      <c r="AW127">
        <v>357.45190400000001</v>
      </c>
      <c r="AX127">
        <v>51.002132000000003</v>
      </c>
      <c r="AY127">
        <v>85.332702999999995</v>
      </c>
      <c r="AZ127">
        <v>137.77616900000001</v>
      </c>
      <c r="BA127">
        <v>102.11432600000001</v>
      </c>
      <c r="BB127">
        <v>46.246696</v>
      </c>
      <c r="BC127">
        <v>34.417468999999997</v>
      </c>
      <c r="BD127">
        <v>44.026404999999997</v>
      </c>
      <c r="BE127">
        <v>24.353197000000002</v>
      </c>
      <c r="BF127">
        <v>24.701132000000001</v>
      </c>
      <c r="BG127">
        <v>23.245657000000001</v>
      </c>
      <c r="BH127">
        <v>45</v>
      </c>
      <c r="BI127">
        <v>41</v>
      </c>
      <c r="BJ127">
        <v>8.8888890000000007</v>
      </c>
      <c r="BK127">
        <v>98</v>
      </c>
      <c r="BL127">
        <v>2.733E-2</v>
      </c>
      <c r="BM127">
        <v>1.1690000000000001E-2</v>
      </c>
      <c r="BN127">
        <v>-1</v>
      </c>
      <c r="BO127">
        <v>3</v>
      </c>
      <c r="BP127">
        <v>1</v>
      </c>
      <c r="BQ127">
        <v>1.400002</v>
      </c>
      <c r="BR127">
        <v>156.914185</v>
      </c>
      <c r="BS127">
        <v>47.627243</v>
      </c>
      <c r="BT127">
        <v>5.2700000000000004E-3</v>
      </c>
      <c r="BU127">
        <v>70.219291999999996</v>
      </c>
      <c r="BV127">
        <v>0.60383399999999998</v>
      </c>
      <c r="BW127">
        <v>1.4845619999999999</v>
      </c>
      <c r="BX127">
        <v>0.27802100000000002</v>
      </c>
      <c r="BY127">
        <v>0.38489699999999999</v>
      </c>
      <c r="BZ127">
        <v>0.966835</v>
      </c>
      <c r="CA127">
        <v>2020</v>
      </c>
      <c r="CB127">
        <v>2</v>
      </c>
      <c r="CC127">
        <v>16</v>
      </c>
      <c r="CD127">
        <v>23</v>
      </c>
      <c r="CE127">
        <v>33</v>
      </c>
      <c r="CF127">
        <v>29.140001000000002</v>
      </c>
      <c r="CG127">
        <v>2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0.41372300000000001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</row>
    <row r="128" spans="1:105" x14ac:dyDescent="0.25">
      <c r="A128">
        <v>127</v>
      </c>
      <c r="B128" t="s">
        <v>263</v>
      </c>
      <c r="C128">
        <v>58896.183380000002</v>
      </c>
      <c r="D128">
        <v>327.68704200000002</v>
      </c>
      <c r="E128" s="3" t="s">
        <v>113</v>
      </c>
      <c r="F128" s="3" t="s">
        <v>125</v>
      </c>
      <c r="G128">
        <v>-0.89138200000000001</v>
      </c>
      <c r="H128">
        <v>249.605301</v>
      </c>
      <c r="I128">
        <v>21.276892</v>
      </c>
      <c r="J128">
        <v>249.64572100000001</v>
      </c>
      <c r="K128">
        <v>20.944326</v>
      </c>
      <c r="L128">
        <v>243.83549500000001</v>
      </c>
      <c r="M128">
        <v>42.549931000000001</v>
      </c>
      <c r="N128">
        <v>54.589188</v>
      </c>
      <c r="O128">
        <v>54.589188</v>
      </c>
      <c r="P128">
        <v>53.253489999999999</v>
      </c>
      <c r="Q128">
        <v>37.364288000000002</v>
      </c>
      <c r="R128">
        <v>2.2190599999999998</v>
      </c>
      <c r="S128">
        <v>0.96747700000000003</v>
      </c>
      <c r="T128">
        <v>0.56401500000000004</v>
      </c>
      <c r="U128">
        <v>3.3069540000000002</v>
      </c>
      <c r="V128">
        <v>160.47422800000001</v>
      </c>
      <c r="W128">
        <v>327.68701199999998</v>
      </c>
      <c r="X128">
        <v>103.821198</v>
      </c>
      <c r="Y128" t="s">
        <v>259</v>
      </c>
      <c r="Z128">
        <v>0.62229800000000002</v>
      </c>
      <c r="AA128">
        <v>5.9125589999999999</v>
      </c>
      <c r="AB128">
        <v>0.6</v>
      </c>
      <c r="AC128">
        <v>1.2437579999999999</v>
      </c>
      <c r="AD128">
        <v>0.08</v>
      </c>
      <c r="AE128">
        <v>17.132000000000001</v>
      </c>
      <c r="AF128">
        <v>0</v>
      </c>
      <c r="AG128">
        <v>151.474762</v>
      </c>
      <c r="AH128">
        <v>19.959972</v>
      </c>
      <c r="AI128">
        <v>320.84088100000002</v>
      </c>
      <c r="AJ128">
        <v>-31.703758000000001</v>
      </c>
      <c r="AK128">
        <v>3.8517000000000001</v>
      </c>
      <c r="AL128">
        <v>66.720618999999999</v>
      </c>
      <c r="AM128">
        <v>11.226585</v>
      </c>
      <c r="AN128">
        <v>29.294792000000001</v>
      </c>
      <c r="AO128">
        <v>-2.4536099999999998</v>
      </c>
      <c r="AP128">
        <v>52.386668999999998</v>
      </c>
      <c r="AQ128">
        <v>99.620238999999998</v>
      </c>
      <c r="AR128">
        <v>199.07551599999999</v>
      </c>
      <c r="AS128">
        <v>79.508110000000002</v>
      </c>
      <c r="AT128">
        <v>50.821872999999997</v>
      </c>
      <c r="AU128">
        <v>6.536225</v>
      </c>
      <c r="AV128">
        <v>66.093811000000002</v>
      </c>
      <c r="AW128">
        <v>-2.491968</v>
      </c>
      <c r="AX128">
        <v>52.400486000000001</v>
      </c>
      <c r="AY128">
        <v>96.526015999999998</v>
      </c>
      <c r="AZ128">
        <v>198.39636200000001</v>
      </c>
      <c r="BA128">
        <v>80.751594999999995</v>
      </c>
      <c r="BB128">
        <v>51.063170999999997</v>
      </c>
      <c r="BC128">
        <v>4.3671350000000002</v>
      </c>
      <c r="BD128">
        <v>120.311066</v>
      </c>
      <c r="BE128">
        <v>46.475689000000003</v>
      </c>
      <c r="BF128">
        <v>46.946807999999997</v>
      </c>
      <c r="BG128">
        <v>46.656616</v>
      </c>
      <c r="BH128">
        <v>5</v>
      </c>
      <c r="BI128">
        <v>5</v>
      </c>
      <c r="BJ128">
        <v>0</v>
      </c>
      <c r="BK128">
        <v>10</v>
      </c>
      <c r="BL128">
        <v>4.0250000000000001E-2</v>
      </c>
      <c r="BM128">
        <v>1.559E-2</v>
      </c>
      <c r="BN128">
        <v>-1</v>
      </c>
      <c r="BO128">
        <v>3</v>
      </c>
      <c r="BP128">
        <v>1</v>
      </c>
      <c r="BQ128">
        <v>6.9996000000000003E-2</v>
      </c>
      <c r="BR128">
        <v>157.79539500000001</v>
      </c>
      <c r="BS128">
        <v>52.024161999999997</v>
      </c>
      <c r="BT128">
        <v>0.15007300000000001</v>
      </c>
      <c r="BU128">
        <v>32.45187</v>
      </c>
      <c r="BV128">
        <v>2.8543569999999998</v>
      </c>
      <c r="BW128">
        <v>0.33469599999999999</v>
      </c>
      <c r="BX128">
        <v>3.8894220000000002</v>
      </c>
      <c r="BY128">
        <v>5.0002890000000004</v>
      </c>
      <c r="BZ128">
        <v>0.84645000000000004</v>
      </c>
      <c r="CA128">
        <v>2020</v>
      </c>
      <c r="CB128">
        <v>2</v>
      </c>
      <c r="CC128">
        <v>17</v>
      </c>
      <c r="CD128">
        <v>4</v>
      </c>
      <c r="CE128">
        <v>24</v>
      </c>
      <c r="CF128">
        <v>4.05</v>
      </c>
      <c r="CG128">
        <v>2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0.45064100000000001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</row>
    <row r="129" spans="1:105" x14ac:dyDescent="0.25">
      <c r="A129">
        <v>128</v>
      </c>
      <c r="B129" t="s">
        <v>264</v>
      </c>
      <c r="C129">
        <v>58896.225731999999</v>
      </c>
      <c r="D129">
        <v>327.72979700000002</v>
      </c>
      <c r="E129" s="3" t="s">
        <v>106</v>
      </c>
      <c r="F129" s="3" t="s">
        <v>107</v>
      </c>
      <c r="G129">
        <v>0.31413400000000002</v>
      </c>
      <c r="H129">
        <v>124.26937100000001</v>
      </c>
      <c r="I129">
        <v>44.198256999999998</v>
      </c>
      <c r="J129">
        <v>115.542419</v>
      </c>
      <c r="K129">
        <v>35.490859999999998</v>
      </c>
      <c r="L129">
        <v>111.203667</v>
      </c>
      <c r="M129">
        <v>13.915276</v>
      </c>
      <c r="N129">
        <v>16.375050999999999</v>
      </c>
      <c r="O129">
        <v>16.375050999999999</v>
      </c>
      <c r="P129">
        <v>12.245869000000001</v>
      </c>
      <c r="Q129">
        <v>38.451241000000003</v>
      </c>
      <c r="R129">
        <v>2.795404</v>
      </c>
      <c r="S129">
        <v>0.91750600000000004</v>
      </c>
      <c r="T129">
        <v>0.67178099999999996</v>
      </c>
      <c r="U129">
        <v>4.6756450000000003</v>
      </c>
      <c r="V129">
        <v>214.66452000000001</v>
      </c>
      <c r="W129">
        <v>327.73132299999997</v>
      </c>
      <c r="X129">
        <v>4.5222509999999998</v>
      </c>
      <c r="Y129" t="s">
        <v>114</v>
      </c>
      <c r="Z129">
        <v>-1</v>
      </c>
      <c r="AA129">
        <v>-1</v>
      </c>
      <c r="AB129">
        <v>1</v>
      </c>
      <c r="AC129">
        <v>1.5060789999999999</v>
      </c>
      <c r="AD129">
        <v>0.34</v>
      </c>
      <c r="AE129">
        <v>4.4349999999999996</v>
      </c>
      <c r="AF129">
        <v>0</v>
      </c>
      <c r="AG129">
        <v>280.38244600000002</v>
      </c>
      <c r="AH129">
        <v>43.237659000000001</v>
      </c>
      <c r="AI129">
        <v>132.16333</v>
      </c>
      <c r="AJ129">
        <v>29.845734</v>
      </c>
      <c r="AK129">
        <v>165.97210699999999</v>
      </c>
      <c r="AL129">
        <v>23.725826000000001</v>
      </c>
      <c r="AM129">
        <v>263.14587399999999</v>
      </c>
      <c r="AN129">
        <v>36.432419000000003</v>
      </c>
      <c r="AO129">
        <v>-2.5807760000000002</v>
      </c>
      <c r="AP129">
        <v>50.817352</v>
      </c>
      <c r="AQ129">
        <v>83.655624000000003</v>
      </c>
      <c r="AR129">
        <v>139.26449600000001</v>
      </c>
      <c r="AS129">
        <v>39.598598000000003</v>
      </c>
      <c r="AT129">
        <v>39.53096</v>
      </c>
      <c r="AU129">
        <v>167.19383199999999</v>
      </c>
      <c r="AV129">
        <v>22.72193</v>
      </c>
      <c r="AW129">
        <v>-2.5259239999999998</v>
      </c>
      <c r="AX129">
        <v>50.790218000000003</v>
      </c>
      <c r="AY129">
        <v>81.133849999999995</v>
      </c>
      <c r="AZ129">
        <v>135.02121</v>
      </c>
      <c r="BA129">
        <v>41.104678999999997</v>
      </c>
      <c r="BB129">
        <v>41.033340000000003</v>
      </c>
      <c r="BC129">
        <v>5.5675179999999997</v>
      </c>
      <c r="BD129">
        <v>307.62795999999997</v>
      </c>
      <c r="BE129">
        <v>27.084240000000001</v>
      </c>
      <c r="BF129">
        <v>26.383516</v>
      </c>
      <c r="BG129">
        <v>15.422575</v>
      </c>
      <c r="BH129">
        <v>18</v>
      </c>
      <c r="BI129">
        <v>14</v>
      </c>
      <c r="BJ129">
        <v>22.222221000000001</v>
      </c>
      <c r="BK129">
        <v>39</v>
      </c>
      <c r="BL129">
        <v>2.954E-2</v>
      </c>
      <c r="BM129">
        <v>1.342E-2</v>
      </c>
      <c r="BN129">
        <v>-1</v>
      </c>
      <c r="BO129">
        <v>3</v>
      </c>
      <c r="BP129">
        <v>1</v>
      </c>
      <c r="BQ129">
        <v>2.0199950000000002</v>
      </c>
      <c r="BR129">
        <v>156.88659699999999</v>
      </c>
      <c r="BS129">
        <v>86.937934999999996</v>
      </c>
      <c r="BT129">
        <v>7.0029999999999997E-3</v>
      </c>
      <c r="BU129">
        <v>-72.546638000000002</v>
      </c>
      <c r="BV129">
        <v>5.1317360000000001</v>
      </c>
      <c r="BW129">
        <v>10.973217999999999</v>
      </c>
      <c r="BX129">
        <v>0.89382600000000001</v>
      </c>
      <c r="BY129">
        <v>1.3615060000000001</v>
      </c>
      <c r="BZ129">
        <v>0.91270700000000005</v>
      </c>
      <c r="CA129">
        <v>2020</v>
      </c>
      <c r="CB129">
        <v>2</v>
      </c>
      <c r="CC129">
        <v>17</v>
      </c>
      <c r="CD129">
        <v>5</v>
      </c>
      <c r="CE129">
        <v>25</v>
      </c>
      <c r="CF129">
        <v>3.270003</v>
      </c>
      <c r="CG129">
        <v>2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0.35772999999999999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</row>
    <row r="130" spans="1:105" x14ac:dyDescent="0.25">
      <c r="A130">
        <v>129</v>
      </c>
      <c r="B130" t="s">
        <v>265</v>
      </c>
      <c r="C130">
        <v>58896.232585999998</v>
      </c>
      <c r="D130">
        <v>327.73672499999998</v>
      </c>
      <c r="E130" s="3" t="s">
        <v>106</v>
      </c>
      <c r="F130" s="3" t="s">
        <v>242</v>
      </c>
      <c r="G130">
        <v>-0.287047</v>
      </c>
      <c r="H130">
        <v>205.63467399999999</v>
      </c>
      <c r="I130">
        <v>41.266781000000002</v>
      </c>
      <c r="J130">
        <v>204.79496800000001</v>
      </c>
      <c r="K130">
        <v>40.932571000000003</v>
      </c>
      <c r="L130">
        <v>182.513428</v>
      </c>
      <c r="M130">
        <v>46.646541999999997</v>
      </c>
      <c r="N130">
        <v>41.817447999999999</v>
      </c>
      <c r="O130">
        <v>41.817447999999999</v>
      </c>
      <c r="P130">
        <v>40.388420000000004</v>
      </c>
      <c r="Q130">
        <v>39.623874999999998</v>
      </c>
      <c r="R130">
        <v>3.9288850000000002</v>
      </c>
      <c r="S130">
        <v>0.63948300000000002</v>
      </c>
      <c r="T130">
        <v>0.83723599999999998</v>
      </c>
      <c r="U130">
        <v>7.7907390000000003</v>
      </c>
      <c r="V130">
        <v>256.94091800000001</v>
      </c>
      <c r="W130">
        <v>327.736786</v>
      </c>
      <c r="X130">
        <v>63.986674999999998</v>
      </c>
      <c r="Y130" t="s">
        <v>114</v>
      </c>
      <c r="Z130">
        <v>-1</v>
      </c>
      <c r="AA130">
        <v>-1</v>
      </c>
      <c r="AB130">
        <v>0.2</v>
      </c>
      <c r="AC130">
        <v>3.2327110000000001</v>
      </c>
      <c r="AD130">
        <v>0.3</v>
      </c>
      <c r="AE130">
        <v>10.581</v>
      </c>
      <c r="AF130">
        <v>0</v>
      </c>
      <c r="AG130">
        <v>348.703217</v>
      </c>
      <c r="AH130">
        <v>42.331992999999997</v>
      </c>
      <c r="AI130">
        <v>206.98687699999999</v>
      </c>
      <c r="AJ130">
        <v>35.017040000000001</v>
      </c>
      <c r="AK130">
        <v>160.15289300000001</v>
      </c>
      <c r="AL130">
        <v>47.349052</v>
      </c>
      <c r="AM130">
        <v>293.32989500000002</v>
      </c>
      <c r="AN130">
        <v>46.375495999999998</v>
      </c>
      <c r="AO130">
        <v>-2.1851020000000001</v>
      </c>
      <c r="AP130">
        <v>51.255370999999997</v>
      </c>
      <c r="AQ130">
        <v>94.938231999999999</v>
      </c>
      <c r="AR130">
        <v>130.330994</v>
      </c>
      <c r="AS130">
        <v>32.629986000000002</v>
      </c>
      <c r="AT130">
        <v>32.076011999999999</v>
      </c>
      <c r="AU130">
        <v>155.44783000000001</v>
      </c>
      <c r="AV130">
        <v>46.896889000000002</v>
      </c>
      <c r="AW130">
        <v>-2.133874</v>
      </c>
      <c r="AX130">
        <v>51.269317999999998</v>
      </c>
      <c r="AY130">
        <v>83.036918999999997</v>
      </c>
      <c r="AZ130">
        <v>119.95665700000001</v>
      </c>
      <c r="BA130">
        <v>35.862698000000002</v>
      </c>
      <c r="BB130">
        <v>35.237758999999997</v>
      </c>
      <c r="BC130">
        <v>12.545235</v>
      </c>
      <c r="BD130">
        <v>245.43246500000001</v>
      </c>
      <c r="BE130">
        <v>71.635551000000007</v>
      </c>
      <c r="BF130">
        <v>71.088050999999993</v>
      </c>
      <c r="BG130">
        <v>70.386146999999994</v>
      </c>
      <c r="BH130">
        <v>16</v>
      </c>
      <c r="BI130">
        <v>13</v>
      </c>
      <c r="BJ130">
        <v>18.75</v>
      </c>
      <c r="BK130">
        <v>25</v>
      </c>
      <c r="BL130">
        <v>3.0810000000000001E-2</v>
      </c>
      <c r="BM130">
        <v>1.308E-2</v>
      </c>
      <c r="BN130">
        <v>-1</v>
      </c>
      <c r="BO130">
        <v>3</v>
      </c>
      <c r="BP130">
        <v>1</v>
      </c>
      <c r="BQ130">
        <v>1.600001</v>
      </c>
      <c r="BR130">
        <v>156.914185</v>
      </c>
      <c r="BS130">
        <v>80.014702</v>
      </c>
      <c r="BT130">
        <v>5.4860000000000004E-3</v>
      </c>
      <c r="BU130">
        <v>73.178436000000005</v>
      </c>
      <c r="BV130">
        <v>0.89968000000000004</v>
      </c>
      <c r="BW130">
        <v>0.71560699999999999</v>
      </c>
      <c r="BX130">
        <v>0.38388800000000001</v>
      </c>
      <c r="BY130">
        <v>0.66535100000000003</v>
      </c>
      <c r="BZ130">
        <v>0.93935800000000003</v>
      </c>
      <c r="CA130">
        <v>2020</v>
      </c>
      <c r="CB130">
        <v>2</v>
      </c>
      <c r="CC130">
        <v>17</v>
      </c>
      <c r="CD130">
        <v>5</v>
      </c>
      <c r="CE130">
        <v>34</v>
      </c>
      <c r="CF130">
        <v>55.439995000000003</v>
      </c>
      <c r="CG130">
        <v>2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0.254525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</row>
    <row r="131" spans="1:105" x14ac:dyDescent="0.25">
      <c r="A131">
        <v>130</v>
      </c>
      <c r="B131" t="s">
        <v>266</v>
      </c>
      <c r="C131">
        <v>58896.967254000003</v>
      </c>
      <c r="D131">
        <v>328.47842400000002</v>
      </c>
      <c r="E131" s="3" t="s">
        <v>113</v>
      </c>
      <c r="F131" s="3" t="s">
        <v>106</v>
      </c>
      <c r="G131">
        <v>0.26308300000000001</v>
      </c>
      <c r="H131">
        <v>184.35348500000001</v>
      </c>
      <c r="I131">
        <v>12.428102000000001</v>
      </c>
      <c r="J131">
        <v>190.46485899999999</v>
      </c>
      <c r="K131">
        <v>2.9191509999999998</v>
      </c>
      <c r="L131">
        <v>188.46586600000001</v>
      </c>
      <c r="M131">
        <v>6.8270739999999996</v>
      </c>
      <c r="N131">
        <v>15.376594000000001</v>
      </c>
      <c r="O131">
        <v>15.376594000000001</v>
      </c>
      <c r="P131">
        <v>10.228947</v>
      </c>
      <c r="Q131">
        <v>24.783155000000001</v>
      </c>
      <c r="R131">
        <v>0.75093699999999997</v>
      </c>
      <c r="S131">
        <v>0.432029</v>
      </c>
      <c r="T131">
        <v>0.42468</v>
      </c>
      <c r="U131">
        <v>0.65099799999999997</v>
      </c>
      <c r="V131">
        <v>332.61956800000002</v>
      </c>
      <c r="W131">
        <v>328.48132299999997</v>
      </c>
      <c r="X131">
        <v>2.9446099999999999</v>
      </c>
      <c r="Y131" t="s">
        <v>114</v>
      </c>
      <c r="Z131">
        <v>-1</v>
      </c>
      <c r="AA131">
        <v>-1</v>
      </c>
      <c r="AB131">
        <v>0.4</v>
      </c>
      <c r="AC131">
        <v>2.576962</v>
      </c>
      <c r="AD131">
        <v>0.34</v>
      </c>
      <c r="AE131">
        <v>7.8070000000000004</v>
      </c>
      <c r="AF131">
        <v>0</v>
      </c>
      <c r="AG131">
        <v>91.489044000000007</v>
      </c>
      <c r="AH131">
        <v>12.776361</v>
      </c>
      <c r="AI131">
        <v>327.54486100000003</v>
      </c>
      <c r="AJ131">
        <v>-34.598705000000002</v>
      </c>
      <c r="AK131">
        <v>227.22787500000001</v>
      </c>
      <c r="AL131">
        <v>72.430580000000006</v>
      </c>
      <c r="AM131">
        <v>25.982716</v>
      </c>
      <c r="AN131">
        <v>46.39217</v>
      </c>
      <c r="AO131">
        <v>357.51052900000002</v>
      </c>
      <c r="AP131">
        <v>51.471072999999997</v>
      </c>
      <c r="AQ131">
        <v>78.443366999999995</v>
      </c>
      <c r="AR131">
        <v>107.55600699999999</v>
      </c>
      <c r="AS131">
        <v>65.08905</v>
      </c>
      <c r="AT131">
        <v>39.203418999999997</v>
      </c>
      <c r="AU131">
        <v>234.12318400000001</v>
      </c>
      <c r="AV131">
        <v>74.075828999999999</v>
      </c>
      <c r="AW131">
        <v>357.45388800000001</v>
      </c>
      <c r="AX131">
        <v>51.486969000000002</v>
      </c>
      <c r="AY131">
        <v>75.573120000000003</v>
      </c>
      <c r="AZ131">
        <v>105.46056400000001</v>
      </c>
      <c r="BA131">
        <v>67.666008000000005</v>
      </c>
      <c r="BB131">
        <v>40.138283000000001</v>
      </c>
      <c r="BC131">
        <v>5.2280420000000003</v>
      </c>
      <c r="BD131">
        <v>114.167946</v>
      </c>
      <c r="BE131">
        <v>33.081169000000003</v>
      </c>
      <c r="BF131">
        <v>33.056460999999999</v>
      </c>
      <c r="BG131">
        <v>21.804110000000001</v>
      </c>
      <c r="BH131">
        <v>18</v>
      </c>
      <c r="BI131">
        <v>16</v>
      </c>
      <c r="BJ131">
        <v>11.111110999999999</v>
      </c>
      <c r="BK131">
        <v>19</v>
      </c>
      <c r="BL131">
        <v>4.7500000000000001E-2</v>
      </c>
      <c r="BM131">
        <v>1.4619999999999999E-2</v>
      </c>
      <c r="BN131">
        <v>-1</v>
      </c>
      <c r="BO131">
        <v>3</v>
      </c>
      <c r="BP131">
        <v>1</v>
      </c>
      <c r="BQ131">
        <v>0.24000099999999999</v>
      </c>
      <c r="BR131">
        <v>135.36303699999999</v>
      </c>
      <c r="BS131">
        <v>44.179935</v>
      </c>
      <c r="BT131">
        <v>8.0400000000000003E-4</v>
      </c>
      <c r="BU131">
        <v>62.491795000000003</v>
      </c>
      <c r="BV131">
        <v>0.186885</v>
      </c>
      <c r="BW131">
        <v>11.270032</v>
      </c>
      <c r="BX131">
        <v>1.9195230000000001</v>
      </c>
      <c r="BY131">
        <v>2.9776910000000001</v>
      </c>
      <c r="BZ131">
        <v>0.88672200000000001</v>
      </c>
      <c r="CA131">
        <v>2020</v>
      </c>
      <c r="CB131">
        <v>2</v>
      </c>
      <c r="CC131">
        <v>17</v>
      </c>
      <c r="CD131">
        <v>23</v>
      </c>
      <c r="CE131">
        <v>12</v>
      </c>
      <c r="CF131">
        <v>50.759995000000004</v>
      </c>
      <c r="CG131">
        <v>2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1.3316699999999999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</row>
    <row r="132" spans="1:105" x14ac:dyDescent="0.25">
      <c r="A132">
        <v>131</v>
      </c>
      <c r="B132" t="s">
        <v>267</v>
      </c>
      <c r="C132">
        <v>58897.069677</v>
      </c>
      <c r="D132">
        <v>328.581818</v>
      </c>
      <c r="E132" s="2" t="s">
        <v>122</v>
      </c>
      <c r="F132" s="2" t="s">
        <v>125</v>
      </c>
      <c r="G132">
        <v>0.52881100000000003</v>
      </c>
      <c r="H132">
        <v>188.88270600000001</v>
      </c>
      <c r="I132">
        <v>6.9865979999999999</v>
      </c>
      <c r="J132">
        <v>188.784561</v>
      </c>
      <c r="K132">
        <v>5.8970180000000001</v>
      </c>
      <c r="L132">
        <v>185.72277800000001</v>
      </c>
      <c r="M132">
        <v>8.8985400000000006</v>
      </c>
      <c r="N132">
        <v>38.137951000000001</v>
      </c>
      <c r="O132">
        <v>38.137951000000001</v>
      </c>
      <c r="P132">
        <v>36.375694000000003</v>
      </c>
      <c r="Q132">
        <v>30.045759</v>
      </c>
      <c r="R132">
        <v>0.99367000000000005</v>
      </c>
      <c r="S132">
        <v>5.8375999999999997E-2</v>
      </c>
      <c r="T132">
        <v>0.94125199999999998</v>
      </c>
      <c r="U132">
        <v>0.99091799999999997</v>
      </c>
      <c r="V132">
        <v>340.14837599999998</v>
      </c>
      <c r="W132">
        <v>328.58203099999997</v>
      </c>
      <c r="X132">
        <v>33.670741999999997</v>
      </c>
      <c r="Y132" t="s">
        <v>114</v>
      </c>
      <c r="Z132">
        <v>-1</v>
      </c>
      <c r="AA132">
        <v>-1</v>
      </c>
      <c r="AB132">
        <v>1.6</v>
      </c>
      <c r="AC132">
        <v>0.999614</v>
      </c>
      <c r="AD132">
        <v>0.08</v>
      </c>
      <c r="AE132">
        <v>12.007999999999999</v>
      </c>
      <c r="AF132">
        <v>0</v>
      </c>
      <c r="AG132">
        <v>310.34344499999997</v>
      </c>
      <c r="AH132">
        <v>76.786133000000007</v>
      </c>
      <c r="AI132">
        <v>288.145264</v>
      </c>
      <c r="AJ132">
        <v>-15.639552999999999</v>
      </c>
      <c r="AK132">
        <v>118.734268</v>
      </c>
      <c r="AL132">
        <v>12.940296</v>
      </c>
      <c r="AM132">
        <v>246.29522700000001</v>
      </c>
      <c r="AN132">
        <v>32.539413000000003</v>
      </c>
      <c r="AO132">
        <v>356.948914</v>
      </c>
      <c r="AP132">
        <v>52.250419999999998</v>
      </c>
      <c r="AQ132">
        <v>89.658821000000003</v>
      </c>
      <c r="AR132">
        <v>164.306366</v>
      </c>
      <c r="AS132">
        <v>69.161086999999995</v>
      </c>
      <c r="AT132">
        <v>26.036715999999998</v>
      </c>
      <c r="AU132">
        <v>117.709991</v>
      </c>
      <c r="AV132">
        <v>12.890311000000001</v>
      </c>
      <c r="AW132">
        <v>356.93457000000001</v>
      </c>
      <c r="AX132">
        <v>52.268349000000001</v>
      </c>
      <c r="AY132">
        <v>87.609275999999994</v>
      </c>
      <c r="AZ132">
        <v>163.23619099999999</v>
      </c>
      <c r="BA132">
        <v>70.160697999999996</v>
      </c>
      <c r="BB132">
        <v>26.220365999999999</v>
      </c>
      <c r="BC132">
        <v>3.0510359999999999</v>
      </c>
      <c r="BD132">
        <v>153.43455499999999</v>
      </c>
      <c r="BE132">
        <v>41.854149</v>
      </c>
      <c r="BF132">
        <v>41.880001</v>
      </c>
      <c r="BG132">
        <v>40.847575999999997</v>
      </c>
      <c r="BH132">
        <v>5</v>
      </c>
      <c r="BI132">
        <v>5</v>
      </c>
      <c r="BJ132">
        <v>0</v>
      </c>
      <c r="BK132">
        <v>31</v>
      </c>
      <c r="BL132">
        <v>2.7699999999999999E-2</v>
      </c>
      <c r="BM132">
        <v>1.2149999999999999E-2</v>
      </c>
      <c r="BN132">
        <v>-1</v>
      </c>
      <c r="BO132">
        <v>3</v>
      </c>
      <c r="BP132">
        <v>1</v>
      </c>
      <c r="BQ132">
        <v>2.9994E-2</v>
      </c>
      <c r="BR132">
        <v>98.427750000000003</v>
      </c>
      <c r="BS132">
        <v>27.999614999999999</v>
      </c>
      <c r="BT132">
        <v>0.19599800000000001</v>
      </c>
      <c r="BU132">
        <v>66.218558999999999</v>
      </c>
      <c r="BV132">
        <v>6.3398180000000002</v>
      </c>
      <c r="BW132">
        <v>1.0939350000000001</v>
      </c>
      <c r="BX132">
        <v>4.9536699999999998</v>
      </c>
      <c r="BY132">
        <v>11.211843</v>
      </c>
      <c r="BZ132">
        <v>0.68903800000000004</v>
      </c>
      <c r="CA132">
        <v>2020</v>
      </c>
      <c r="CB132">
        <v>2</v>
      </c>
      <c r="CC132">
        <v>18</v>
      </c>
      <c r="CD132">
        <v>1</v>
      </c>
      <c r="CE132">
        <v>40</v>
      </c>
      <c r="CF132">
        <v>20.070001999999999</v>
      </c>
      <c r="CG132">
        <v>2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1.0063709999999999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</row>
    <row r="133" spans="1:105" x14ac:dyDescent="0.25">
      <c r="A133">
        <v>132</v>
      </c>
      <c r="B133" t="s">
        <v>268</v>
      </c>
      <c r="C133">
        <v>58897.212349000001</v>
      </c>
      <c r="D133">
        <v>328.72582999999997</v>
      </c>
      <c r="E133" s="3" t="s">
        <v>153</v>
      </c>
      <c r="F133" s="3" t="s">
        <v>154</v>
      </c>
      <c r="G133">
        <v>-1.921862</v>
      </c>
      <c r="H133">
        <v>269.19845600000002</v>
      </c>
      <c r="I133">
        <v>34.703194000000003</v>
      </c>
      <c r="J133">
        <v>269.39950599999997</v>
      </c>
      <c r="K133">
        <v>34.514626</v>
      </c>
      <c r="L133">
        <v>269.06759599999998</v>
      </c>
      <c r="M133">
        <v>57.949345000000001</v>
      </c>
      <c r="N133">
        <v>46.876724000000003</v>
      </c>
      <c r="O133">
        <v>46.876724000000003</v>
      </c>
      <c r="P133">
        <v>45.344391000000002</v>
      </c>
      <c r="Q133">
        <v>41.493960999999999</v>
      </c>
      <c r="R133">
        <v>12.033185</v>
      </c>
      <c r="S133">
        <v>0.89453700000000003</v>
      </c>
      <c r="T133">
        <v>0.92566099999999996</v>
      </c>
      <c r="U133">
        <v>41.758567999999997</v>
      </c>
      <c r="V133">
        <v>143.403809</v>
      </c>
      <c r="W133">
        <v>328.72586100000001</v>
      </c>
      <c r="X133">
        <v>76.290306000000001</v>
      </c>
      <c r="Y133" t="s">
        <v>114</v>
      </c>
      <c r="Z133">
        <v>-1</v>
      </c>
      <c r="AA133">
        <v>-1</v>
      </c>
      <c r="AB133">
        <v>-0.2</v>
      </c>
      <c r="AC133">
        <v>1.3333820000000001</v>
      </c>
      <c r="AD133">
        <v>0.2</v>
      </c>
      <c r="AE133">
        <v>6.7110000000000003</v>
      </c>
      <c r="AF133">
        <v>0</v>
      </c>
      <c r="AG133">
        <v>2.9779460000000002</v>
      </c>
      <c r="AH133">
        <v>5.4373040000000001</v>
      </c>
      <c r="AI133">
        <v>350.42965700000002</v>
      </c>
      <c r="AJ133">
        <v>-39.664439999999999</v>
      </c>
      <c r="AK133">
        <v>272.76135299999999</v>
      </c>
      <c r="AL133">
        <v>2.274349</v>
      </c>
      <c r="AM133">
        <v>121.42289700000001</v>
      </c>
      <c r="AN133">
        <v>25.731511999999999</v>
      </c>
      <c r="AO133">
        <v>0.99141599999999996</v>
      </c>
      <c r="AP133">
        <v>49.853774999999999</v>
      </c>
      <c r="AQ133">
        <v>101.28892500000001</v>
      </c>
      <c r="AR133">
        <v>224.90965299999999</v>
      </c>
      <c r="AS133">
        <v>32.598095000000001</v>
      </c>
      <c r="AT133">
        <v>6.2138390000000001</v>
      </c>
      <c r="AU133">
        <v>272.887787</v>
      </c>
      <c r="AV133">
        <v>0.94696999999999998</v>
      </c>
      <c r="AW133">
        <v>0.91787600000000003</v>
      </c>
      <c r="AX133">
        <v>49.860508000000003</v>
      </c>
      <c r="AY133">
        <v>93.643424999999993</v>
      </c>
      <c r="AZ133">
        <v>217.07015999999999</v>
      </c>
      <c r="BA133">
        <v>33.931477000000001</v>
      </c>
      <c r="BB133">
        <v>6.4391850000000002</v>
      </c>
      <c r="BC133">
        <v>9.3753440000000001</v>
      </c>
      <c r="BD133">
        <v>98.197570999999996</v>
      </c>
      <c r="BE133">
        <v>54.541904000000002</v>
      </c>
      <c r="BF133">
        <v>52.919876000000002</v>
      </c>
      <c r="BG133">
        <v>52.671528000000002</v>
      </c>
      <c r="BH133">
        <v>11</v>
      </c>
      <c r="BI133">
        <v>9</v>
      </c>
      <c r="BJ133">
        <v>18.181818</v>
      </c>
      <c r="BK133">
        <v>24</v>
      </c>
      <c r="BL133">
        <v>1.529E-2</v>
      </c>
      <c r="BM133">
        <v>9.1699999999999993E-3</v>
      </c>
      <c r="BN133">
        <v>-1</v>
      </c>
      <c r="BO133">
        <v>3</v>
      </c>
      <c r="BP133">
        <v>1</v>
      </c>
      <c r="BQ133">
        <v>8.0004000000000006E-2</v>
      </c>
      <c r="BR133">
        <v>27.946843999999999</v>
      </c>
      <c r="BS133">
        <v>11.590242999999999</v>
      </c>
      <c r="BT133">
        <v>4.1850000000000004E-3</v>
      </c>
      <c r="BU133">
        <v>81.713607999999994</v>
      </c>
      <c r="BV133">
        <v>0.66098100000000004</v>
      </c>
      <c r="BW133">
        <v>0.25087700000000002</v>
      </c>
      <c r="BX133">
        <v>2.2868539999999999</v>
      </c>
      <c r="BY133">
        <v>20.391290999999999</v>
      </c>
      <c r="BZ133">
        <v>0.60525700000000004</v>
      </c>
      <c r="CA133">
        <v>2020</v>
      </c>
      <c r="CB133">
        <v>2</v>
      </c>
      <c r="CC133">
        <v>18</v>
      </c>
      <c r="CD133">
        <v>5</v>
      </c>
      <c r="CE133">
        <v>5</v>
      </c>
      <c r="CF133">
        <v>46.959999000000003</v>
      </c>
      <c r="CG133">
        <v>2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8.3103999999999997E-2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</row>
    <row r="134" spans="1:105" x14ac:dyDescent="0.25">
      <c r="A134">
        <v>133</v>
      </c>
      <c r="B134" t="s">
        <v>269</v>
      </c>
      <c r="C134">
        <v>58898.029953999998</v>
      </c>
      <c r="D134">
        <v>329.55096400000002</v>
      </c>
      <c r="E134" s="3" t="s">
        <v>106</v>
      </c>
      <c r="F134" s="3" t="s">
        <v>107</v>
      </c>
      <c r="G134">
        <v>0.101022</v>
      </c>
      <c r="H134">
        <v>149.738632</v>
      </c>
      <c r="I134">
        <v>13.378492</v>
      </c>
      <c r="J134">
        <v>148.701401</v>
      </c>
      <c r="K134">
        <v>11.016266</v>
      </c>
      <c r="L134">
        <v>147.03923</v>
      </c>
      <c r="M134">
        <v>-1.5753889999999999</v>
      </c>
      <c r="N134">
        <v>24.289801000000001</v>
      </c>
      <c r="O134">
        <v>24.289801000000001</v>
      </c>
      <c r="P134">
        <v>21.613440000000001</v>
      </c>
      <c r="Q134">
        <v>37.638508000000002</v>
      </c>
      <c r="R134">
        <v>2.3438119999999998</v>
      </c>
      <c r="S134">
        <v>0.61217600000000005</v>
      </c>
      <c r="T134">
        <v>0.73881200000000002</v>
      </c>
      <c r="U134">
        <v>3.5897060000000001</v>
      </c>
      <c r="V134">
        <v>84.017853000000002</v>
      </c>
      <c r="W134">
        <v>149.541077</v>
      </c>
      <c r="X134">
        <v>1.0973170000000001</v>
      </c>
      <c r="Y134" t="s">
        <v>114</v>
      </c>
      <c r="Z134">
        <v>-1</v>
      </c>
      <c r="AA134">
        <v>-1</v>
      </c>
      <c r="AB134">
        <v>0.5</v>
      </c>
      <c r="AC134">
        <v>2.05179</v>
      </c>
      <c r="AD134">
        <v>0.2</v>
      </c>
      <c r="AE134">
        <v>10.125999999999999</v>
      </c>
      <c r="AF134">
        <v>0</v>
      </c>
      <c r="AG134">
        <v>75.071563999999995</v>
      </c>
      <c r="AH134">
        <v>-48.030464000000002</v>
      </c>
      <c r="AI134">
        <v>258.785706</v>
      </c>
      <c r="AJ134">
        <v>7.1511079999999998</v>
      </c>
      <c r="AK134">
        <v>86.350761000000006</v>
      </c>
      <c r="AL134">
        <v>41.414538999999998</v>
      </c>
      <c r="AM134">
        <v>288.08248900000001</v>
      </c>
      <c r="AN134">
        <v>41.575657</v>
      </c>
      <c r="AO134">
        <v>357.759277</v>
      </c>
      <c r="AP134">
        <v>51.188316</v>
      </c>
      <c r="AQ134">
        <v>80.942299000000006</v>
      </c>
      <c r="AR134">
        <v>121.297325</v>
      </c>
      <c r="AS134">
        <v>61.322456000000003</v>
      </c>
      <c r="AT134">
        <v>60.989632</v>
      </c>
      <c r="AU134">
        <v>83.627967999999996</v>
      </c>
      <c r="AV134">
        <v>41.650883</v>
      </c>
      <c r="AW134">
        <v>357.76769999999999</v>
      </c>
      <c r="AX134">
        <v>51.214390000000002</v>
      </c>
      <c r="AY134">
        <v>77.128524999999996</v>
      </c>
      <c r="AZ134">
        <v>119.042404</v>
      </c>
      <c r="BA134">
        <v>63.374245000000002</v>
      </c>
      <c r="BB134">
        <v>63.011474999999997</v>
      </c>
      <c r="BC134">
        <v>4.8579600000000003</v>
      </c>
      <c r="BD134">
        <v>190.99606299999999</v>
      </c>
      <c r="BE134">
        <v>51.673507999999998</v>
      </c>
      <c r="BF134">
        <v>51.758308</v>
      </c>
      <c r="BG134">
        <v>49.271254999999996</v>
      </c>
      <c r="BH134">
        <v>11</v>
      </c>
      <c r="BI134">
        <v>11</v>
      </c>
      <c r="BJ134">
        <v>0</v>
      </c>
      <c r="BK134">
        <v>117</v>
      </c>
      <c r="BL134">
        <v>2.8760000000000001E-2</v>
      </c>
      <c r="BM134">
        <v>7.9299999999999995E-3</v>
      </c>
      <c r="BN134">
        <v>-1</v>
      </c>
      <c r="BO134">
        <v>3</v>
      </c>
      <c r="BP134">
        <v>1</v>
      </c>
      <c r="BQ134">
        <v>4.889996</v>
      </c>
      <c r="BR134">
        <v>156.887283</v>
      </c>
      <c r="BS134">
        <v>85.419250000000005</v>
      </c>
      <c r="BT134">
        <v>2.0257000000000001E-2</v>
      </c>
      <c r="BU134">
        <v>51.048285999999997</v>
      </c>
      <c r="BV134">
        <v>0.11806999999999999</v>
      </c>
      <c r="BW134">
        <v>2.5705589999999998</v>
      </c>
      <c r="BX134">
        <v>0.96525300000000003</v>
      </c>
      <c r="BY134">
        <v>1.083218</v>
      </c>
      <c r="BZ134">
        <v>0.963472</v>
      </c>
      <c r="CA134">
        <v>2020</v>
      </c>
      <c r="CB134">
        <v>2</v>
      </c>
      <c r="CC134">
        <v>19</v>
      </c>
      <c r="CD134">
        <v>0</v>
      </c>
      <c r="CE134">
        <v>43</v>
      </c>
      <c r="CF134">
        <v>8.0100020000000001</v>
      </c>
      <c r="CG134">
        <v>2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0.42665500000000001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</row>
    <row r="135" spans="1:105" x14ac:dyDescent="0.25">
      <c r="A135">
        <v>134</v>
      </c>
      <c r="B135" t="s">
        <v>270</v>
      </c>
      <c r="C135">
        <v>58898.047006000001</v>
      </c>
      <c r="D135">
        <v>329.56817599999999</v>
      </c>
      <c r="E135" s="3" t="s">
        <v>122</v>
      </c>
      <c r="F135" s="3" t="s">
        <v>113</v>
      </c>
      <c r="G135">
        <v>-2.5053269999999999</v>
      </c>
      <c r="H135">
        <v>167.29141200000001</v>
      </c>
      <c r="I135">
        <v>-7.5735250000000001</v>
      </c>
      <c r="J135">
        <v>166.970642</v>
      </c>
      <c r="K135">
        <v>-8.8128130000000002</v>
      </c>
      <c r="L135">
        <v>171.523956</v>
      </c>
      <c r="M135">
        <v>-13.248691000000001</v>
      </c>
      <c r="N135">
        <v>41.544581999999998</v>
      </c>
      <c r="O135">
        <v>41.544581999999998</v>
      </c>
      <c r="P135">
        <v>39.997387000000003</v>
      </c>
      <c r="Q135">
        <v>40.049849999999999</v>
      </c>
      <c r="R135">
        <v>4.6408139999999998</v>
      </c>
      <c r="S135">
        <v>0.18359200000000001</v>
      </c>
      <c r="T135">
        <v>0.96043999999999996</v>
      </c>
      <c r="U135">
        <v>10.001519999999999</v>
      </c>
      <c r="V135">
        <v>131.45500200000001</v>
      </c>
      <c r="W135">
        <v>149.56785600000001</v>
      </c>
      <c r="X135">
        <v>30.470151999999999</v>
      </c>
      <c r="Y135" t="s">
        <v>114</v>
      </c>
      <c r="Z135">
        <v>-1</v>
      </c>
      <c r="AA135">
        <v>-1</v>
      </c>
      <c r="AB135">
        <v>-1.4</v>
      </c>
      <c r="AC135">
        <v>6.4487030000000001</v>
      </c>
      <c r="AD135">
        <v>0.54</v>
      </c>
      <c r="AE135">
        <v>11.337999999999999</v>
      </c>
      <c r="AF135">
        <v>0</v>
      </c>
      <c r="AG135">
        <v>235.363617</v>
      </c>
      <c r="AH135">
        <v>70.402313000000007</v>
      </c>
      <c r="AI135">
        <v>271.44006300000001</v>
      </c>
      <c r="AJ135">
        <v>-3.4635159999999998</v>
      </c>
      <c r="AK135">
        <v>116.654831</v>
      </c>
      <c r="AL135">
        <v>9.7051639999999999</v>
      </c>
      <c r="AM135">
        <v>239.21653699999999</v>
      </c>
      <c r="AN135">
        <v>32.587764999999997</v>
      </c>
      <c r="AO135">
        <v>356.98339800000002</v>
      </c>
      <c r="AP135">
        <v>52.085365000000003</v>
      </c>
      <c r="AQ135">
        <v>94.385955999999993</v>
      </c>
      <c r="AR135">
        <v>172.56166099999999</v>
      </c>
      <c r="AS135">
        <v>53.309792000000002</v>
      </c>
      <c r="AT135">
        <v>49.545878999999999</v>
      </c>
      <c r="AU135">
        <v>110.364937</v>
      </c>
      <c r="AV135">
        <v>11.541600000000001</v>
      </c>
      <c r="AW135">
        <v>356.95584100000002</v>
      </c>
      <c r="AX135">
        <v>52.256222000000001</v>
      </c>
      <c r="AY135">
        <v>83.131943000000007</v>
      </c>
      <c r="AZ135">
        <v>160.17100500000001</v>
      </c>
      <c r="BA135">
        <v>59.758495000000003</v>
      </c>
      <c r="BB135">
        <v>55.063792999999997</v>
      </c>
      <c r="BC135">
        <v>22.434073999999999</v>
      </c>
      <c r="BD135">
        <v>174.07096899999999</v>
      </c>
      <c r="BE135">
        <v>30.067233999999999</v>
      </c>
      <c r="BF135">
        <v>29.498232000000002</v>
      </c>
      <c r="BG135">
        <v>28.272331000000001</v>
      </c>
      <c r="BH135">
        <v>28</v>
      </c>
      <c r="BI135">
        <v>27</v>
      </c>
      <c r="BJ135">
        <v>3.5714290000000002</v>
      </c>
      <c r="BK135">
        <v>39</v>
      </c>
      <c r="BL135">
        <v>3.0769999999999999E-2</v>
      </c>
      <c r="BM135">
        <v>5.77E-3</v>
      </c>
      <c r="BN135">
        <v>-1</v>
      </c>
      <c r="BO135">
        <v>3</v>
      </c>
      <c r="BP135">
        <v>1</v>
      </c>
      <c r="BQ135">
        <v>5.9998000000000003E-2</v>
      </c>
      <c r="BR135">
        <v>239.79837000000001</v>
      </c>
      <c r="BS135">
        <v>71.609779000000003</v>
      </c>
      <c r="BT135">
        <v>2.14E-4</v>
      </c>
      <c r="BU135">
        <v>59.874274999999997</v>
      </c>
      <c r="BV135">
        <v>2.7486969999999999</v>
      </c>
      <c r="BW135">
        <v>1.2793099999999999</v>
      </c>
      <c r="BX135">
        <v>0.31113200000000002</v>
      </c>
      <c r="BY135">
        <v>0.37952599999999997</v>
      </c>
      <c r="BZ135">
        <v>0.97746299999999997</v>
      </c>
      <c r="CA135">
        <v>2020</v>
      </c>
      <c r="CB135">
        <v>2</v>
      </c>
      <c r="CC135">
        <v>19</v>
      </c>
      <c r="CD135">
        <v>1</v>
      </c>
      <c r="CE135">
        <v>7</v>
      </c>
      <c r="CF135">
        <v>41.349997999999999</v>
      </c>
      <c r="CG135">
        <v>2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0.215479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</row>
    <row r="136" spans="1:105" x14ac:dyDescent="0.25">
      <c r="A136">
        <v>135</v>
      </c>
      <c r="B136" t="s">
        <v>271</v>
      </c>
      <c r="C136">
        <v>58899.094992999999</v>
      </c>
      <c r="D136">
        <v>330.62548800000002</v>
      </c>
      <c r="E136" s="3" t="s">
        <v>194</v>
      </c>
      <c r="F136" s="3" t="s">
        <v>191</v>
      </c>
      <c r="G136">
        <v>-1.4101630000000001</v>
      </c>
      <c r="H136">
        <v>141.17700199999999</v>
      </c>
      <c r="I136">
        <v>28.293455000000002</v>
      </c>
      <c r="J136">
        <v>140.809921</v>
      </c>
      <c r="K136">
        <v>28.048342000000002</v>
      </c>
      <c r="L136">
        <v>134.392212</v>
      </c>
      <c r="M136">
        <v>12.099783</v>
      </c>
      <c r="N136">
        <v>73.133949000000001</v>
      </c>
      <c r="O136">
        <v>73.133949000000001</v>
      </c>
      <c r="P136">
        <v>72.443306000000007</v>
      </c>
      <c r="Q136">
        <v>85.430526999999998</v>
      </c>
      <c r="R136">
        <v>-0.161189</v>
      </c>
      <c r="S136">
        <v>0.552755</v>
      </c>
      <c r="T136">
        <v>4.4292299999999996</v>
      </c>
      <c r="U136">
        <v>0</v>
      </c>
      <c r="V136">
        <v>242.63862599999999</v>
      </c>
      <c r="W136">
        <v>330.62625100000002</v>
      </c>
      <c r="X136">
        <v>16.912792</v>
      </c>
      <c r="Y136" t="s">
        <v>114</v>
      </c>
      <c r="Z136">
        <v>-1</v>
      </c>
      <c r="AA136">
        <v>-1</v>
      </c>
      <c r="AB136">
        <v>-1.23</v>
      </c>
      <c r="AC136">
        <v>4.9729140000000003</v>
      </c>
      <c r="AD136">
        <v>0.24099999999999999</v>
      </c>
      <c r="AE136">
        <v>20.631537999999999</v>
      </c>
      <c r="AF136">
        <v>0</v>
      </c>
      <c r="AG136">
        <v>263.50375400000001</v>
      </c>
      <c r="AH136">
        <v>44.810436000000003</v>
      </c>
      <c r="AI136">
        <v>204.499268</v>
      </c>
      <c r="AJ136">
        <v>35.772075999999998</v>
      </c>
      <c r="AK136">
        <v>164.931534</v>
      </c>
      <c r="AL136">
        <v>8.5333009999999998</v>
      </c>
      <c r="AM136">
        <v>204.123718</v>
      </c>
      <c r="AN136">
        <v>44.313564</v>
      </c>
      <c r="AO136">
        <v>-1.7928809999999999</v>
      </c>
      <c r="AP136">
        <v>51.213988999999998</v>
      </c>
      <c r="AQ136">
        <v>81.770966000000001</v>
      </c>
      <c r="AR136">
        <v>116.10385100000001</v>
      </c>
      <c r="AS136">
        <v>29.848671</v>
      </c>
      <c r="AT136">
        <v>26.343847</v>
      </c>
      <c r="AU136">
        <v>168.48701500000001</v>
      </c>
      <c r="AV136">
        <v>5.0306129999999998</v>
      </c>
      <c r="AW136">
        <v>-1.649392</v>
      </c>
      <c r="AX136">
        <v>51.248493000000003</v>
      </c>
      <c r="AY136">
        <v>67.900336999999993</v>
      </c>
      <c r="AZ136">
        <v>101.19761699999999</v>
      </c>
      <c r="BA136">
        <v>34.821582999999997</v>
      </c>
      <c r="BB136">
        <v>30.605349</v>
      </c>
      <c r="BC136">
        <v>17.62528</v>
      </c>
      <c r="BD136">
        <v>248.35282900000001</v>
      </c>
      <c r="BE136">
        <v>52.057209</v>
      </c>
      <c r="BF136">
        <v>51.527866000000003</v>
      </c>
      <c r="BG136">
        <v>51.131450999999998</v>
      </c>
      <c r="BH136">
        <v>8</v>
      </c>
      <c r="BI136">
        <v>2</v>
      </c>
      <c r="BJ136">
        <v>20</v>
      </c>
      <c r="BK136">
        <v>0</v>
      </c>
      <c r="BL136">
        <v>0.1</v>
      </c>
      <c r="BM136">
        <v>0.1</v>
      </c>
      <c r="BN136">
        <v>0</v>
      </c>
      <c r="BO136">
        <v>0</v>
      </c>
      <c r="BP136">
        <v>1</v>
      </c>
      <c r="BQ136">
        <v>1.809998</v>
      </c>
      <c r="BR136">
        <v>118.545776</v>
      </c>
      <c r="BS136">
        <v>63.074516000000003</v>
      </c>
      <c r="BT136">
        <v>6.1409999999999998E-3</v>
      </c>
      <c r="BU136">
        <v>13.279609000000001</v>
      </c>
      <c r="BV136">
        <v>70.590560999999994</v>
      </c>
      <c r="BW136">
        <v>0.40594999999999998</v>
      </c>
      <c r="BX136">
        <v>1.0630280000000001</v>
      </c>
      <c r="BY136">
        <v>2.0879650000000001</v>
      </c>
      <c r="BZ136">
        <v>6.5339999999999999E-3</v>
      </c>
      <c r="CA136">
        <v>2020</v>
      </c>
      <c r="CB136">
        <v>2</v>
      </c>
      <c r="CC136">
        <v>20</v>
      </c>
      <c r="CD136">
        <v>2</v>
      </c>
      <c r="CE136">
        <v>16</v>
      </c>
      <c r="CF136">
        <v>47.419998</v>
      </c>
      <c r="CG136">
        <v>2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-6.2038840000000004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</row>
    <row r="137" spans="1:105" x14ac:dyDescent="0.25">
      <c r="A137">
        <v>136</v>
      </c>
      <c r="B137" t="s">
        <v>272</v>
      </c>
      <c r="C137">
        <v>58899.870808</v>
      </c>
      <c r="D137">
        <v>331.40792800000003</v>
      </c>
      <c r="E137" s="3" t="s">
        <v>154</v>
      </c>
      <c r="F137" s="3" t="s">
        <v>153</v>
      </c>
      <c r="G137">
        <v>0.29946</v>
      </c>
      <c r="H137">
        <v>139.00457800000001</v>
      </c>
      <c r="I137">
        <v>20.405594000000001</v>
      </c>
      <c r="J137">
        <v>139.329712</v>
      </c>
      <c r="K137">
        <v>19.437296</v>
      </c>
      <c r="L137">
        <v>135.772324</v>
      </c>
      <c r="M137">
        <v>3.490802</v>
      </c>
      <c r="N137">
        <v>32.919128000000001</v>
      </c>
      <c r="O137">
        <v>32.919128000000001</v>
      </c>
      <c r="P137">
        <v>30.790873999999999</v>
      </c>
      <c r="Q137">
        <v>48.298274999999997</v>
      </c>
      <c r="R137">
        <v>-1.6480379999999999</v>
      </c>
      <c r="S137">
        <v>0.67626200000000003</v>
      </c>
      <c r="T137">
        <v>1.410344</v>
      </c>
      <c r="U137">
        <v>0</v>
      </c>
      <c r="V137">
        <v>242.62200899999999</v>
      </c>
      <c r="W137">
        <v>331.413208</v>
      </c>
      <c r="X137">
        <v>2.7923930000000001</v>
      </c>
      <c r="Y137" t="s">
        <v>114</v>
      </c>
      <c r="Z137">
        <v>-1</v>
      </c>
      <c r="AA137">
        <v>-1</v>
      </c>
      <c r="AB137">
        <v>1.3</v>
      </c>
      <c r="AC137">
        <v>3.0237780000000001</v>
      </c>
      <c r="AD137">
        <v>0.74</v>
      </c>
      <c r="AE137">
        <v>4.0979999999999999</v>
      </c>
      <c r="AF137">
        <v>0</v>
      </c>
      <c r="AG137">
        <v>239.75147999999999</v>
      </c>
      <c r="AH137">
        <v>26.622565999999999</v>
      </c>
      <c r="AI137">
        <v>318.68447900000001</v>
      </c>
      <c r="AJ137">
        <v>-31.811247000000002</v>
      </c>
      <c r="AK137">
        <v>147.78447</v>
      </c>
      <c r="AL137">
        <v>3.9172899999999999</v>
      </c>
      <c r="AM137">
        <v>125.329887</v>
      </c>
      <c r="AN137">
        <v>29.598558000000001</v>
      </c>
      <c r="AO137">
        <v>0.63789300000000004</v>
      </c>
      <c r="AP137">
        <v>50.169086</v>
      </c>
      <c r="AQ137">
        <v>86.342849999999999</v>
      </c>
      <c r="AR137">
        <v>169.97210699999999</v>
      </c>
      <c r="AS137">
        <v>18.572626</v>
      </c>
      <c r="AT137">
        <v>7.0869799999999996</v>
      </c>
      <c r="AU137">
        <v>149.142426</v>
      </c>
      <c r="AV137">
        <v>1.2148410000000001</v>
      </c>
      <c r="AW137">
        <v>0.45797900000000002</v>
      </c>
      <c r="AX137">
        <v>50.248367000000002</v>
      </c>
      <c r="AY137">
        <v>67.803482000000002</v>
      </c>
      <c r="AZ137">
        <v>147.085373</v>
      </c>
      <c r="BA137">
        <v>21.596405000000001</v>
      </c>
      <c r="BB137">
        <v>8.19679</v>
      </c>
      <c r="BC137">
        <v>24.360154999999999</v>
      </c>
      <c r="BD137">
        <v>124.46086099999999</v>
      </c>
      <c r="BE137">
        <v>49.404961</v>
      </c>
      <c r="BF137">
        <v>48.101627000000001</v>
      </c>
      <c r="BG137">
        <v>47.128234999999997</v>
      </c>
      <c r="BH137">
        <v>38</v>
      </c>
      <c r="BI137">
        <v>36</v>
      </c>
      <c r="BJ137">
        <v>5.2631579999999998</v>
      </c>
      <c r="BK137">
        <v>79</v>
      </c>
      <c r="BL137">
        <v>1.626E-2</v>
      </c>
      <c r="BM137">
        <v>8.3800000000000003E-3</v>
      </c>
      <c r="BN137">
        <v>-1</v>
      </c>
      <c r="BO137">
        <v>3</v>
      </c>
      <c r="BP137">
        <v>1</v>
      </c>
      <c r="BQ137">
        <v>9.9999000000000005E-2</v>
      </c>
      <c r="BR137">
        <v>27.946646000000001</v>
      </c>
      <c r="BS137">
        <v>22.790206999999999</v>
      </c>
      <c r="BT137">
        <v>4.8176649999999999</v>
      </c>
      <c r="BU137">
        <v>6.2178519999999997</v>
      </c>
      <c r="BV137">
        <v>46.032660999999997</v>
      </c>
      <c r="BW137">
        <v>1.0154000000000001</v>
      </c>
      <c r="BX137">
        <v>0.32487100000000002</v>
      </c>
      <c r="BY137">
        <v>2.278619</v>
      </c>
      <c r="BZ137">
        <v>7.0075999999999999E-2</v>
      </c>
      <c r="CA137">
        <v>2020</v>
      </c>
      <c r="CB137">
        <v>2</v>
      </c>
      <c r="CC137">
        <v>20</v>
      </c>
      <c r="CD137">
        <v>20</v>
      </c>
      <c r="CE137">
        <v>53</v>
      </c>
      <c r="CF137">
        <v>57.800002999999997</v>
      </c>
      <c r="CG137">
        <v>2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-0.60678200000000004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</row>
    <row r="138" spans="1:105" x14ac:dyDescent="0.25">
      <c r="A138">
        <v>137</v>
      </c>
      <c r="B138" t="s">
        <v>273</v>
      </c>
      <c r="C138">
        <v>58900.068887000001</v>
      </c>
      <c r="D138">
        <v>331.60763500000002</v>
      </c>
      <c r="E138" s="2" t="s">
        <v>242</v>
      </c>
      <c r="F138" s="2" t="s">
        <v>106</v>
      </c>
      <c r="G138">
        <v>0.51482399999999995</v>
      </c>
      <c r="H138">
        <v>220.94358800000001</v>
      </c>
      <c r="I138">
        <v>-22.001298999999999</v>
      </c>
      <c r="J138">
        <v>221.101685</v>
      </c>
      <c r="K138">
        <v>-22.637685999999999</v>
      </c>
      <c r="L138">
        <v>225.58273299999999</v>
      </c>
      <c r="M138">
        <v>-6.4203869999999998</v>
      </c>
      <c r="N138">
        <v>71.334007</v>
      </c>
      <c r="O138">
        <v>71.334007</v>
      </c>
      <c r="P138">
        <v>70.244422999999998</v>
      </c>
      <c r="Q138">
        <v>42.245944999999999</v>
      </c>
      <c r="R138">
        <v>92.109970000000004</v>
      </c>
      <c r="S138">
        <v>0.790265</v>
      </c>
      <c r="T138">
        <v>0.99141999999999997</v>
      </c>
      <c r="U138">
        <v>884.371399</v>
      </c>
      <c r="V138">
        <v>53.366481999999998</v>
      </c>
      <c r="W138">
        <v>151.608902</v>
      </c>
      <c r="X138">
        <v>168.00079299999999</v>
      </c>
      <c r="Y138" t="s">
        <v>114</v>
      </c>
      <c r="Z138">
        <v>-1</v>
      </c>
      <c r="AA138">
        <v>-1</v>
      </c>
      <c r="AB138">
        <v>1.3</v>
      </c>
      <c r="AC138">
        <v>13.305334999999999</v>
      </c>
      <c r="AD138">
        <v>0.5</v>
      </c>
      <c r="AE138">
        <v>26.724001000000001</v>
      </c>
      <c r="AF138">
        <v>0</v>
      </c>
      <c r="AG138">
        <v>134.27346800000001</v>
      </c>
      <c r="AH138">
        <v>8.1805190000000003</v>
      </c>
      <c r="AI138">
        <v>304.38525399999997</v>
      </c>
      <c r="AJ138">
        <v>-25.722892999999999</v>
      </c>
      <c r="AK138">
        <v>231.070663</v>
      </c>
      <c r="AL138">
        <v>39.465054000000002</v>
      </c>
      <c r="AM138">
        <v>81.763771000000006</v>
      </c>
      <c r="AN138">
        <v>47.867302000000002</v>
      </c>
      <c r="AO138">
        <v>358.16519199999999</v>
      </c>
      <c r="AP138">
        <v>50.809128000000001</v>
      </c>
      <c r="AQ138">
        <v>112.490486</v>
      </c>
      <c r="AR138">
        <v>150.04054300000001</v>
      </c>
      <c r="AS138">
        <v>62.191173999999997</v>
      </c>
      <c r="AT138">
        <v>50.756283000000003</v>
      </c>
      <c r="AU138">
        <v>235.064682</v>
      </c>
      <c r="AV138">
        <v>52.483066999999998</v>
      </c>
      <c r="AW138">
        <v>357.82333399999999</v>
      </c>
      <c r="AX138">
        <v>51.036118000000002</v>
      </c>
      <c r="AY138">
        <v>108.829956</v>
      </c>
      <c r="AZ138">
        <v>137.080658</v>
      </c>
      <c r="BA138">
        <v>75.496505999999997</v>
      </c>
      <c r="BB138">
        <v>57.960354000000002</v>
      </c>
      <c r="BC138">
        <v>35.667003999999999</v>
      </c>
      <c r="BD138">
        <v>136.359375</v>
      </c>
      <c r="BE138">
        <v>5.8449080000000002</v>
      </c>
      <c r="BF138">
        <v>5.3208909999999996</v>
      </c>
      <c r="BG138">
        <v>4.692564</v>
      </c>
      <c r="BH138">
        <v>26</v>
      </c>
      <c r="BI138">
        <v>8</v>
      </c>
      <c r="BJ138">
        <v>69.230766000000003</v>
      </c>
      <c r="BK138">
        <v>0</v>
      </c>
      <c r="BL138">
        <v>0.1</v>
      </c>
      <c r="BM138">
        <v>7.43E-3</v>
      </c>
      <c r="BN138">
        <v>-1</v>
      </c>
      <c r="BO138">
        <v>3</v>
      </c>
      <c r="BP138">
        <v>1</v>
      </c>
      <c r="BQ138">
        <v>0.14000099999999999</v>
      </c>
      <c r="BR138">
        <v>156.91645800000001</v>
      </c>
      <c r="BS138">
        <v>61.114165999999997</v>
      </c>
      <c r="BT138">
        <v>5.22E-4</v>
      </c>
      <c r="BU138">
        <v>68.900475</v>
      </c>
      <c r="BV138">
        <v>0.41941400000000001</v>
      </c>
      <c r="BW138">
        <v>0.652976</v>
      </c>
      <c r="BX138">
        <v>0.65748499999999999</v>
      </c>
      <c r="BY138">
        <v>0.77562799999999998</v>
      </c>
      <c r="BZ138">
        <v>0.83798499999999998</v>
      </c>
      <c r="CA138">
        <v>2020</v>
      </c>
      <c r="CB138">
        <v>2</v>
      </c>
      <c r="CC138">
        <v>21</v>
      </c>
      <c r="CD138">
        <v>1</v>
      </c>
      <c r="CE138">
        <v>39</v>
      </c>
      <c r="CF138">
        <v>11.839995999999999</v>
      </c>
      <c r="CG138">
        <v>2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1.0857E-2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</row>
    <row r="139" spans="1:105" x14ac:dyDescent="0.25">
      <c r="A139">
        <v>138</v>
      </c>
      <c r="B139" t="s">
        <v>274</v>
      </c>
      <c r="C139">
        <v>58900.073023999998</v>
      </c>
      <c r="D139">
        <v>331.61181599999998</v>
      </c>
      <c r="E139" s="3" t="s">
        <v>242</v>
      </c>
      <c r="F139" s="3" t="s">
        <v>106</v>
      </c>
      <c r="G139">
        <v>-1.396177</v>
      </c>
      <c r="H139">
        <v>244.65954600000001</v>
      </c>
      <c r="I139">
        <v>38.087054999999999</v>
      </c>
      <c r="J139">
        <v>245.17585800000001</v>
      </c>
      <c r="K139">
        <v>37.858226999999999</v>
      </c>
      <c r="L139">
        <v>231.27446</v>
      </c>
      <c r="M139">
        <v>58.004275999999997</v>
      </c>
      <c r="N139">
        <v>50.439022000000001</v>
      </c>
      <c r="O139">
        <v>50.439022000000001</v>
      </c>
      <c r="P139">
        <v>48.959865999999998</v>
      </c>
      <c r="Q139">
        <v>41.994315999999998</v>
      </c>
      <c r="R139">
        <v>28.777695000000001</v>
      </c>
      <c r="S139">
        <v>0.97837600000000002</v>
      </c>
      <c r="T139">
        <v>0.96600200000000003</v>
      </c>
      <c r="U139">
        <v>154.43962099999999</v>
      </c>
      <c r="V139">
        <v>191.89102199999999</v>
      </c>
      <c r="W139">
        <v>331.61184700000001</v>
      </c>
      <c r="X139">
        <v>83.666472999999996</v>
      </c>
      <c r="Y139" t="s">
        <v>114</v>
      </c>
      <c r="Z139">
        <v>-1</v>
      </c>
      <c r="AA139">
        <v>-1</v>
      </c>
      <c r="AB139">
        <v>-0.8</v>
      </c>
      <c r="AC139">
        <v>1.6059099999999999</v>
      </c>
      <c r="AD139">
        <v>0.18</v>
      </c>
      <c r="AE139">
        <v>9.0559999999999992</v>
      </c>
      <c r="AF139">
        <v>0</v>
      </c>
      <c r="AG139">
        <v>133.74949599999999</v>
      </c>
      <c r="AH139">
        <v>24.483843</v>
      </c>
      <c r="AI139">
        <v>14.997315</v>
      </c>
      <c r="AJ139">
        <v>-37.390574999999998</v>
      </c>
      <c r="AK139">
        <v>266.48174999999998</v>
      </c>
      <c r="AL139">
        <v>56.134720000000002</v>
      </c>
      <c r="AM139">
        <v>45.396335999999998</v>
      </c>
      <c r="AN139">
        <v>38.583595000000003</v>
      </c>
      <c r="AO139">
        <v>357.85025000000002</v>
      </c>
      <c r="AP139">
        <v>51.345447999999998</v>
      </c>
      <c r="AQ139">
        <v>85.779517999999996</v>
      </c>
      <c r="AR139">
        <v>135.742279</v>
      </c>
      <c r="AS139">
        <v>23.165775</v>
      </c>
      <c r="AT139">
        <v>18.290854</v>
      </c>
      <c r="AU139">
        <v>268.68615699999998</v>
      </c>
      <c r="AV139">
        <v>57.189082999999997</v>
      </c>
      <c r="AW139">
        <v>357.755066</v>
      </c>
      <c r="AX139">
        <v>51.331077999999998</v>
      </c>
      <c r="AY139">
        <v>79.887398000000005</v>
      </c>
      <c r="AZ139">
        <v>127.44534299999999</v>
      </c>
      <c r="BA139">
        <v>24.771685000000002</v>
      </c>
      <c r="BB139">
        <v>19.528307000000002</v>
      </c>
      <c r="BC139">
        <v>9.0790240000000004</v>
      </c>
      <c r="BD139">
        <v>76.574225999999996</v>
      </c>
      <c r="BE139">
        <v>40.356822999999999</v>
      </c>
      <c r="BF139">
        <v>39.544345999999997</v>
      </c>
      <c r="BG139">
        <v>39.084254999999999</v>
      </c>
      <c r="BH139">
        <v>10</v>
      </c>
      <c r="BI139">
        <v>9</v>
      </c>
      <c r="BJ139">
        <v>10</v>
      </c>
      <c r="BK139">
        <v>0</v>
      </c>
      <c r="BL139">
        <v>0.1</v>
      </c>
      <c r="BM139">
        <v>1.3010000000000001E-2</v>
      </c>
      <c r="BN139">
        <v>-1</v>
      </c>
      <c r="BO139">
        <v>3</v>
      </c>
      <c r="BP139">
        <v>1</v>
      </c>
      <c r="BQ139">
        <v>0.26999400000000001</v>
      </c>
      <c r="BR139">
        <v>156.91645800000001</v>
      </c>
      <c r="BS139">
        <v>52.918635999999999</v>
      </c>
      <c r="BT139">
        <v>8.9400000000000005E-4</v>
      </c>
      <c r="BU139">
        <v>23.724810000000002</v>
      </c>
      <c r="BV139">
        <v>2.5869999999999999E-3</v>
      </c>
      <c r="BW139">
        <v>0.46692499999999998</v>
      </c>
      <c r="BX139">
        <v>2.0130789999999998</v>
      </c>
      <c r="BY139">
        <v>6.0222699999999998</v>
      </c>
      <c r="BZ139">
        <v>0.79959999999999998</v>
      </c>
      <c r="CA139">
        <v>2020</v>
      </c>
      <c r="CB139">
        <v>2</v>
      </c>
      <c r="CC139">
        <v>21</v>
      </c>
      <c r="CD139">
        <v>1</v>
      </c>
      <c r="CE139">
        <v>45</v>
      </c>
      <c r="CF139">
        <v>9.2700019999999999</v>
      </c>
      <c r="CG139">
        <v>2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3.4749000000000002E-2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</row>
    <row r="140" spans="1:105" x14ac:dyDescent="0.25">
      <c r="A140">
        <v>139</v>
      </c>
      <c r="B140" t="s">
        <v>275</v>
      </c>
      <c r="C140">
        <v>58900.102157000001</v>
      </c>
      <c r="D140">
        <v>331.64120500000001</v>
      </c>
      <c r="E140" s="3" t="s">
        <v>122</v>
      </c>
      <c r="F140" s="3" t="s">
        <v>107</v>
      </c>
      <c r="G140">
        <v>-1.3456410000000001</v>
      </c>
      <c r="H140">
        <v>160.473648</v>
      </c>
      <c r="I140">
        <v>8.6168820000000004</v>
      </c>
      <c r="J140">
        <v>159.62142900000001</v>
      </c>
      <c r="K140">
        <v>7.3291310000000003</v>
      </c>
      <c r="L140">
        <v>158.42631499999999</v>
      </c>
      <c r="M140">
        <v>-1.164547</v>
      </c>
      <c r="N140">
        <v>35.254772000000003</v>
      </c>
      <c r="O140">
        <v>35.254772000000003</v>
      </c>
      <c r="P140">
        <v>33.562930999999999</v>
      </c>
      <c r="Q140">
        <v>42.072662000000001</v>
      </c>
      <c r="R140">
        <v>36.614193</v>
      </c>
      <c r="S140">
        <v>0.37947700000000001</v>
      </c>
      <c r="T140">
        <v>0.98963599999999996</v>
      </c>
      <c r="U140">
        <v>221.64039600000001</v>
      </c>
      <c r="V140">
        <v>103.822182</v>
      </c>
      <c r="W140">
        <v>151.63098099999999</v>
      </c>
      <c r="X140">
        <v>1.495973</v>
      </c>
      <c r="Y140" t="s">
        <v>114</v>
      </c>
      <c r="Z140">
        <v>-1</v>
      </c>
      <c r="AA140">
        <v>-1</v>
      </c>
      <c r="AB140">
        <v>0.3</v>
      </c>
      <c r="AC140">
        <v>1.1240330000000001</v>
      </c>
      <c r="AD140">
        <v>0.18</v>
      </c>
      <c r="AE140">
        <v>5.58</v>
      </c>
      <c r="AF140">
        <v>0</v>
      </c>
      <c r="AG140">
        <v>311.12029999999999</v>
      </c>
      <c r="AH140">
        <v>80.137237999999996</v>
      </c>
      <c r="AI140">
        <v>240.28054800000001</v>
      </c>
      <c r="AJ140">
        <v>18.500029000000001</v>
      </c>
      <c r="AK140">
        <v>119.231651</v>
      </c>
      <c r="AL140">
        <v>9.6552260000000008</v>
      </c>
      <c r="AM140">
        <v>256.84478799999999</v>
      </c>
      <c r="AN140">
        <v>21.732388</v>
      </c>
      <c r="AO140">
        <v>-4.0450340000000002</v>
      </c>
      <c r="AP140">
        <v>52.321776999999997</v>
      </c>
      <c r="AQ140">
        <v>82.648803999999998</v>
      </c>
      <c r="AR140">
        <v>215.752365</v>
      </c>
      <c r="AS140">
        <v>40.708106999999998</v>
      </c>
      <c r="AT140">
        <v>34.200428000000002</v>
      </c>
      <c r="AU140">
        <v>118.092316</v>
      </c>
      <c r="AV140">
        <v>9.6136909999999993</v>
      </c>
      <c r="AW140">
        <v>-4.0098570000000002</v>
      </c>
      <c r="AX140">
        <v>52.357143000000001</v>
      </c>
      <c r="AY140">
        <v>78.361153000000002</v>
      </c>
      <c r="AZ140">
        <v>210.98254399999999</v>
      </c>
      <c r="BA140">
        <v>41.832138</v>
      </c>
      <c r="BB140">
        <v>35.085425999999998</v>
      </c>
      <c r="BC140">
        <v>6.3458589999999999</v>
      </c>
      <c r="BD140">
        <v>210.868042</v>
      </c>
      <c r="BE140">
        <v>42.506855000000002</v>
      </c>
      <c r="BF140">
        <v>41.218924999999999</v>
      </c>
      <c r="BG140">
        <v>39.719090000000001</v>
      </c>
      <c r="BH140">
        <v>10</v>
      </c>
      <c r="BI140">
        <v>10</v>
      </c>
      <c r="BJ140">
        <v>0</v>
      </c>
      <c r="BK140">
        <v>23</v>
      </c>
      <c r="BL140">
        <v>2.1860000000000001E-2</v>
      </c>
      <c r="BM140">
        <v>1.159E-2</v>
      </c>
      <c r="BN140">
        <v>-1</v>
      </c>
      <c r="BO140">
        <v>3</v>
      </c>
      <c r="BP140">
        <v>1</v>
      </c>
      <c r="BQ140">
        <v>0.210007</v>
      </c>
      <c r="BR140">
        <v>267.46276899999998</v>
      </c>
      <c r="BS140">
        <v>59.522517999999998</v>
      </c>
      <c r="BT140">
        <v>8.5400000000000005E-4</v>
      </c>
      <c r="BU140">
        <v>85.272423000000003</v>
      </c>
      <c r="BV140">
        <v>7.2151040000000002</v>
      </c>
      <c r="BW140">
        <v>1.5396669999999999</v>
      </c>
      <c r="BX140">
        <v>1.1022430000000001</v>
      </c>
      <c r="BY140">
        <v>1.9176200000000001</v>
      </c>
      <c r="BZ140">
        <v>0.93854400000000004</v>
      </c>
      <c r="CA140">
        <v>2020</v>
      </c>
      <c r="CB140">
        <v>2</v>
      </c>
      <c r="CC140">
        <v>21</v>
      </c>
      <c r="CD140">
        <v>2</v>
      </c>
      <c r="CE140">
        <v>27</v>
      </c>
      <c r="CF140">
        <v>6.3899949999999999</v>
      </c>
      <c r="CG140">
        <v>2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2.7311999999999999E-2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</row>
    <row r="141" spans="1:105" x14ac:dyDescent="0.25">
      <c r="A141">
        <v>140</v>
      </c>
      <c r="B141" t="s">
        <v>276</v>
      </c>
      <c r="C141">
        <v>58900.225735</v>
      </c>
      <c r="D141">
        <v>331.76577800000001</v>
      </c>
      <c r="E141" s="3" t="s">
        <v>122</v>
      </c>
      <c r="F141" s="3" t="s">
        <v>125</v>
      </c>
      <c r="G141">
        <v>-0.578322</v>
      </c>
      <c r="H141">
        <v>234.76556400000001</v>
      </c>
      <c r="I141">
        <v>28.984894000000001</v>
      </c>
      <c r="J141">
        <v>234.416122</v>
      </c>
      <c r="K141">
        <v>28.632923000000002</v>
      </c>
      <c r="L141">
        <v>222.27514600000001</v>
      </c>
      <c r="M141">
        <v>46.349972000000001</v>
      </c>
      <c r="N141">
        <v>45.409657000000003</v>
      </c>
      <c r="O141">
        <v>45.409657000000003</v>
      </c>
      <c r="P141">
        <v>43.994736000000003</v>
      </c>
      <c r="Q141">
        <v>33.326065</v>
      </c>
      <c r="R141">
        <v>1.297612</v>
      </c>
      <c r="S141">
        <v>0.81663699999999995</v>
      </c>
      <c r="T141">
        <v>0.37066100000000002</v>
      </c>
      <c r="U141">
        <v>1.4787399999999999</v>
      </c>
      <c r="V141">
        <v>249.14260899999999</v>
      </c>
      <c r="W141">
        <v>331.76580799999999</v>
      </c>
      <c r="X141">
        <v>87.300156000000001</v>
      </c>
      <c r="Y141" t="s">
        <v>277</v>
      </c>
      <c r="Z141">
        <v>5.4879449999999999</v>
      </c>
      <c r="AA141">
        <v>12.535316</v>
      </c>
      <c r="AB141">
        <v>0.4</v>
      </c>
      <c r="AC141">
        <v>1.112884</v>
      </c>
      <c r="AD141">
        <v>0.1</v>
      </c>
      <c r="AE141">
        <v>17.302</v>
      </c>
      <c r="AF141">
        <v>0</v>
      </c>
      <c r="AG141">
        <v>104.99825300000001</v>
      </c>
      <c r="AH141">
        <v>49.106968000000002</v>
      </c>
      <c r="AI141">
        <v>276.96871900000002</v>
      </c>
      <c r="AJ141">
        <v>-7.2707829999999998</v>
      </c>
      <c r="AK141">
        <v>199.65332000000001</v>
      </c>
      <c r="AL141">
        <v>4.0203139999999999</v>
      </c>
      <c r="AM141">
        <v>218.510818</v>
      </c>
      <c r="AN141">
        <v>34.980083</v>
      </c>
      <c r="AO141">
        <v>-2.3790469999999999</v>
      </c>
      <c r="AP141">
        <v>51.850631999999997</v>
      </c>
      <c r="AQ141">
        <v>92.295592999999997</v>
      </c>
      <c r="AR141">
        <v>158.59818999999999</v>
      </c>
      <c r="AS141">
        <v>41.601562999999999</v>
      </c>
      <c r="AT141">
        <v>33.165664999999997</v>
      </c>
      <c r="AU141">
        <v>198.80860899999999</v>
      </c>
      <c r="AV141">
        <v>3.2937569999999998</v>
      </c>
      <c r="AW141">
        <v>-2.3842690000000002</v>
      </c>
      <c r="AX141">
        <v>51.866034999999997</v>
      </c>
      <c r="AY141">
        <v>88.121971000000002</v>
      </c>
      <c r="AZ141">
        <v>155.23182700000001</v>
      </c>
      <c r="BA141">
        <v>42.714443000000003</v>
      </c>
      <c r="BB141">
        <v>33.98151</v>
      </c>
      <c r="BC141">
        <v>4.5409660000000001</v>
      </c>
      <c r="BD141">
        <v>167.806534</v>
      </c>
      <c r="BE141">
        <v>66.709701999999993</v>
      </c>
      <c r="BF141">
        <v>65.958427</v>
      </c>
      <c r="BG141">
        <v>65.640433999999999</v>
      </c>
      <c r="BH141">
        <v>6</v>
      </c>
      <c r="BI141">
        <v>6</v>
      </c>
      <c r="BJ141">
        <v>0</v>
      </c>
      <c r="BK141">
        <v>13</v>
      </c>
      <c r="BL141">
        <v>4.5130000000000003E-2</v>
      </c>
      <c r="BM141">
        <v>7.7000000000000002E-3</v>
      </c>
      <c r="BN141">
        <v>-1</v>
      </c>
      <c r="BO141">
        <v>3</v>
      </c>
      <c r="BP141">
        <v>1</v>
      </c>
      <c r="BQ141">
        <v>1.9996E-2</v>
      </c>
      <c r="BR141">
        <v>98.427750000000003</v>
      </c>
      <c r="BS141">
        <v>55.482635000000002</v>
      </c>
      <c r="BT141">
        <v>2.7099999999999997E-4</v>
      </c>
      <c r="BU141">
        <v>82.682411000000002</v>
      </c>
      <c r="BV141">
        <v>8.1138200000000005</v>
      </c>
      <c r="BW141">
        <v>0.46651500000000001</v>
      </c>
      <c r="BX141">
        <v>2.2486959999999998</v>
      </c>
      <c r="BY141">
        <v>4.0232489999999999</v>
      </c>
      <c r="BZ141">
        <v>0.87563899999999995</v>
      </c>
      <c r="CA141">
        <v>2020</v>
      </c>
      <c r="CB141">
        <v>2</v>
      </c>
      <c r="CC141">
        <v>21</v>
      </c>
      <c r="CD141">
        <v>5</v>
      </c>
      <c r="CE141">
        <v>25</v>
      </c>
      <c r="CF141">
        <v>3.5100039999999999</v>
      </c>
      <c r="CG141">
        <v>2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0.77064699999999997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</row>
    <row r="142" spans="1:105" x14ac:dyDescent="0.25">
      <c r="A142">
        <v>141</v>
      </c>
      <c r="B142" t="s">
        <v>278</v>
      </c>
      <c r="C142">
        <v>58903.989281000002</v>
      </c>
      <c r="D142">
        <v>335.55725100000001</v>
      </c>
      <c r="E142" s="2" t="s">
        <v>125</v>
      </c>
      <c r="F142" s="2" t="s">
        <v>106</v>
      </c>
      <c r="G142">
        <v>-2.578614</v>
      </c>
      <c r="H142">
        <v>252.97511299999999</v>
      </c>
      <c r="I142">
        <v>27.390958999999999</v>
      </c>
      <c r="J142">
        <v>253.759232</v>
      </c>
      <c r="K142">
        <v>26.703672000000001</v>
      </c>
      <c r="L142">
        <v>247.66748000000001</v>
      </c>
      <c r="M142">
        <v>48.889046</v>
      </c>
      <c r="N142">
        <v>53.117396999999997</v>
      </c>
      <c r="O142">
        <v>53.117396999999997</v>
      </c>
      <c r="P142">
        <v>51.674571999999998</v>
      </c>
      <c r="Q142">
        <v>39.157744999999998</v>
      </c>
      <c r="R142">
        <v>3.419489</v>
      </c>
      <c r="S142">
        <v>0.98757600000000001</v>
      </c>
      <c r="T142">
        <v>0.71119200000000005</v>
      </c>
      <c r="U142">
        <v>6.3258159999999997</v>
      </c>
      <c r="V142">
        <v>174.20607000000001</v>
      </c>
      <c r="W142">
        <v>335.55721999999997</v>
      </c>
      <c r="X142">
        <v>95.647873000000004</v>
      </c>
      <c r="Y142" t="s">
        <v>114</v>
      </c>
      <c r="Z142">
        <v>-1</v>
      </c>
      <c r="AA142">
        <v>-1</v>
      </c>
      <c r="AB142">
        <v>-2</v>
      </c>
      <c r="AC142">
        <v>14.020018</v>
      </c>
      <c r="AD142">
        <v>0.6</v>
      </c>
      <c r="AE142">
        <v>23.541</v>
      </c>
      <c r="AF142">
        <v>0</v>
      </c>
      <c r="AG142">
        <v>339.33902</v>
      </c>
      <c r="AH142">
        <v>-6.978021</v>
      </c>
      <c r="AI142">
        <v>31.866329</v>
      </c>
      <c r="AJ142">
        <v>-32.428322000000001</v>
      </c>
      <c r="AK142">
        <v>50.144427999999998</v>
      </c>
      <c r="AL142">
        <v>69.581017000000003</v>
      </c>
      <c r="AM142">
        <v>330.96310399999999</v>
      </c>
      <c r="AN142">
        <v>44.887531000000003</v>
      </c>
      <c r="AO142">
        <v>358.02725199999998</v>
      </c>
      <c r="AP142">
        <v>52.588352</v>
      </c>
      <c r="AQ142">
        <v>92.835059999999999</v>
      </c>
      <c r="AR142">
        <v>130.91622899999999</v>
      </c>
      <c r="AS142">
        <v>81.624931000000004</v>
      </c>
      <c r="AT142">
        <v>20.435108</v>
      </c>
      <c r="AU142">
        <v>58.844116</v>
      </c>
      <c r="AV142">
        <v>56.100658000000003</v>
      </c>
      <c r="AW142">
        <v>357.62951700000002</v>
      </c>
      <c r="AX142">
        <v>52.458632999999999</v>
      </c>
      <c r="AY142">
        <v>85.563964999999996</v>
      </c>
      <c r="AZ142">
        <v>130.15130600000001</v>
      </c>
      <c r="BA142">
        <v>95.644951000000006</v>
      </c>
      <c r="BB142">
        <v>20.560627</v>
      </c>
      <c r="BC142">
        <v>31.870439999999999</v>
      </c>
      <c r="BD142">
        <v>61.934792000000002</v>
      </c>
      <c r="BE142">
        <v>13.191648000000001</v>
      </c>
      <c r="BF142">
        <v>13.209075</v>
      </c>
      <c r="BG142">
        <v>12.238232999999999</v>
      </c>
      <c r="BH142">
        <v>31</v>
      </c>
      <c r="BI142">
        <v>31</v>
      </c>
      <c r="BJ142">
        <v>0</v>
      </c>
      <c r="BK142">
        <v>34</v>
      </c>
      <c r="BL142">
        <v>2.5420000000000002E-2</v>
      </c>
      <c r="BM142">
        <v>1.9539999999999998E-2</v>
      </c>
      <c r="BN142">
        <v>-1</v>
      </c>
      <c r="BO142">
        <v>3</v>
      </c>
      <c r="BP142">
        <v>1</v>
      </c>
      <c r="BQ142">
        <v>3.0003999999999999E-2</v>
      </c>
      <c r="BR142">
        <v>105.113434</v>
      </c>
      <c r="BS142">
        <v>20.665400000000002</v>
      </c>
      <c r="BT142">
        <v>5.5000000000000002E-5</v>
      </c>
      <c r="BU142">
        <v>83.637718000000007</v>
      </c>
      <c r="BV142">
        <v>1.114379</v>
      </c>
      <c r="BW142">
        <v>0.97982599999999997</v>
      </c>
      <c r="BX142">
        <v>0.55923</v>
      </c>
      <c r="BY142">
        <v>1.5923480000000001</v>
      </c>
      <c r="BZ142">
        <v>0.94826200000000005</v>
      </c>
      <c r="CA142">
        <v>2020</v>
      </c>
      <c r="CB142">
        <v>2</v>
      </c>
      <c r="CC142">
        <v>24</v>
      </c>
      <c r="CD142">
        <v>23</v>
      </c>
      <c r="CE142">
        <v>44</v>
      </c>
      <c r="CF142">
        <v>33.839995999999999</v>
      </c>
      <c r="CG142">
        <v>2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0.29244100000000001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</row>
    <row r="143" spans="1:105" x14ac:dyDescent="0.25">
      <c r="A143">
        <v>142</v>
      </c>
      <c r="B143" t="s">
        <v>279</v>
      </c>
      <c r="C143">
        <v>58904.139172000003</v>
      </c>
      <c r="D143">
        <v>335.70812999999998</v>
      </c>
      <c r="E143" s="3" t="s">
        <v>106</v>
      </c>
      <c r="F143" s="3" t="s">
        <v>191</v>
      </c>
      <c r="G143">
        <v>0.49374400000000002</v>
      </c>
      <c r="H143">
        <v>247.59985399999999</v>
      </c>
      <c r="I143">
        <v>29.395130000000002</v>
      </c>
      <c r="J143">
        <v>247.71435500000001</v>
      </c>
      <c r="K143">
        <v>29.152253999999999</v>
      </c>
      <c r="L143">
        <v>238.83813499999999</v>
      </c>
      <c r="M143">
        <v>50.206080999999998</v>
      </c>
      <c r="N143">
        <v>52.318035000000002</v>
      </c>
      <c r="O143">
        <v>52.318035000000002</v>
      </c>
      <c r="P143">
        <v>50.928482000000002</v>
      </c>
      <c r="Q143">
        <v>39.352184000000001</v>
      </c>
      <c r="R143">
        <v>3.6341929999999998</v>
      </c>
      <c r="S143">
        <v>0.98040899999999997</v>
      </c>
      <c r="T143">
        <v>0.73022600000000004</v>
      </c>
      <c r="U143">
        <v>6.9308519999999998</v>
      </c>
      <c r="V143">
        <v>192.11468500000001</v>
      </c>
      <c r="W143">
        <v>335.708099</v>
      </c>
      <c r="X143">
        <v>93.304100000000005</v>
      </c>
      <c r="Y143" t="s">
        <v>114</v>
      </c>
      <c r="Z143">
        <v>-1</v>
      </c>
      <c r="AA143">
        <v>-1</v>
      </c>
      <c r="AB143">
        <v>1.1000000000000001</v>
      </c>
      <c r="AC143">
        <v>3.507501</v>
      </c>
      <c r="AD143">
        <v>0.16</v>
      </c>
      <c r="AE143">
        <v>21.728000999999999</v>
      </c>
      <c r="AF143">
        <v>0</v>
      </c>
      <c r="AG143">
        <v>349.37789900000001</v>
      </c>
      <c r="AH143">
        <v>19.916896999999999</v>
      </c>
      <c r="AI143">
        <v>338.09027099999997</v>
      </c>
      <c r="AJ143">
        <v>-36.755383000000002</v>
      </c>
      <c r="AK143">
        <v>131.41156000000001</v>
      </c>
      <c r="AL143">
        <v>65.316933000000006</v>
      </c>
      <c r="AM143">
        <v>319.77804600000002</v>
      </c>
      <c r="AN143">
        <v>51.995842000000003</v>
      </c>
      <c r="AO143">
        <v>-1.770103</v>
      </c>
      <c r="AP143">
        <v>51.496943999999999</v>
      </c>
      <c r="AQ143">
        <v>105.46315800000001</v>
      </c>
      <c r="AR143">
        <v>133.27778599999999</v>
      </c>
      <c r="AS143">
        <v>73.416359</v>
      </c>
      <c r="AT143">
        <v>18.203323000000001</v>
      </c>
      <c r="AU143">
        <v>125.06864899999999</v>
      </c>
      <c r="AV143">
        <v>63.144970000000001</v>
      </c>
      <c r="AW143">
        <v>-1.8429899999999999</v>
      </c>
      <c r="AX143">
        <v>51.509940999999998</v>
      </c>
      <c r="AY143">
        <v>99.028060999999994</v>
      </c>
      <c r="AZ143">
        <v>131.13424699999999</v>
      </c>
      <c r="BA143">
        <v>76.923858999999993</v>
      </c>
      <c r="BB143">
        <v>18.511583000000002</v>
      </c>
      <c r="BC143">
        <v>8.3708849999999995</v>
      </c>
      <c r="BD143">
        <v>106.038635</v>
      </c>
      <c r="BE143">
        <v>50.113525000000003</v>
      </c>
      <c r="BF143">
        <v>50.719807000000003</v>
      </c>
      <c r="BG143">
        <v>50.475346000000002</v>
      </c>
      <c r="BH143">
        <v>9</v>
      </c>
      <c r="BI143">
        <v>8</v>
      </c>
      <c r="BJ143">
        <v>11.111110999999999</v>
      </c>
      <c r="BK143">
        <v>85</v>
      </c>
      <c r="BL143">
        <v>2.8330000000000001E-2</v>
      </c>
      <c r="BM143">
        <v>1.695E-2</v>
      </c>
      <c r="BN143">
        <v>-1</v>
      </c>
      <c r="BO143">
        <v>3</v>
      </c>
      <c r="BP143">
        <v>1</v>
      </c>
      <c r="BQ143">
        <v>2.3399990000000002</v>
      </c>
      <c r="BR143">
        <v>53.911568000000003</v>
      </c>
      <c r="BS143">
        <v>19.023026999999999</v>
      </c>
      <c r="BT143">
        <v>7.8729999999999998E-3</v>
      </c>
      <c r="BU143">
        <v>88.598540999999997</v>
      </c>
      <c r="BV143">
        <v>6.0589360000000001</v>
      </c>
      <c r="BW143">
        <v>0.26261099999999998</v>
      </c>
      <c r="BX143">
        <v>2.2863259999999999</v>
      </c>
      <c r="BY143">
        <v>7.2011079999999996</v>
      </c>
      <c r="BZ143">
        <v>0.763351</v>
      </c>
      <c r="CA143">
        <v>2020</v>
      </c>
      <c r="CB143">
        <v>2</v>
      </c>
      <c r="CC143">
        <v>25</v>
      </c>
      <c r="CD143">
        <v>3</v>
      </c>
      <c r="CE143">
        <v>20</v>
      </c>
      <c r="CF143">
        <v>24.480001000000001</v>
      </c>
      <c r="CG143">
        <v>2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0.27516400000000002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</row>
    <row r="144" spans="1:105" x14ac:dyDescent="0.25">
      <c r="A144">
        <v>143</v>
      </c>
      <c r="B144" t="s">
        <v>280</v>
      </c>
      <c r="C144">
        <v>58904.150400999999</v>
      </c>
      <c r="D144">
        <v>335.71942100000001</v>
      </c>
      <c r="E144" s="3" t="s">
        <v>242</v>
      </c>
      <c r="F144" s="3" t="s">
        <v>106</v>
      </c>
      <c r="G144">
        <v>-0.273225</v>
      </c>
      <c r="H144">
        <v>258.584137</v>
      </c>
      <c r="I144">
        <v>8.6351309999999994</v>
      </c>
      <c r="J144">
        <v>258.68984999999998</v>
      </c>
      <c r="K144">
        <v>8.2942560000000007</v>
      </c>
      <c r="L144">
        <v>256.88385</v>
      </c>
      <c r="M144">
        <v>31.217447</v>
      </c>
      <c r="N144">
        <v>68.220496999999995</v>
      </c>
      <c r="O144">
        <v>68.220496999999995</v>
      </c>
      <c r="P144">
        <v>67.062140999999997</v>
      </c>
      <c r="Q144">
        <v>44.998455</v>
      </c>
      <c r="R144">
        <v>-3.8211050000000002</v>
      </c>
      <c r="S144">
        <v>0.93137599999999998</v>
      </c>
      <c r="T144">
        <v>1.2437450000000001</v>
      </c>
      <c r="U144">
        <v>0</v>
      </c>
      <c r="V144">
        <v>153.33727999999999</v>
      </c>
      <c r="W144">
        <v>335.71914700000002</v>
      </c>
      <c r="X144">
        <v>126.97126799999999</v>
      </c>
      <c r="Y144" t="s">
        <v>259</v>
      </c>
      <c r="Z144">
        <v>5.2236260000000003</v>
      </c>
      <c r="AA144">
        <v>18.484352000000001</v>
      </c>
      <c r="AB144">
        <v>1.1000000000000001</v>
      </c>
      <c r="AC144">
        <v>1.3710389999999999</v>
      </c>
      <c r="AD144">
        <v>0.1</v>
      </c>
      <c r="AE144">
        <v>13.037000000000001</v>
      </c>
      <c r="AF144">
        <v>0</v>
      </c>
      <c r="AG144">
        <v>342.65475500000002</v>
      </c>
      <c r="AH144">
        <v>-34.224944999999998</v>
      </c>
      <c r="AI144">
        <v>325.87838699999998</v>
      </c>
      <c r="AJ144">
        <v>-33.988326999999998</v>
      </c>
      <c r="AK144">
        <v>287.52316300000001</v>
      </c>
      <c r="AL144">
        <v>40.051991000000001</v>
      </c>
      <c r="AM144">
        <v>66.573195999999996</v>
      </c>
      <c r="AN144">
        <v>34.282963000000002</v>
      </c>
      <c r="AO144">
        <v>-1.1836819999999999</v>
      </c>
      <c r="AP144">
        <v>51.223655999999998</v>
      </c>
      <c r="AQ144">
        <v>109.746201</v>
      </c>
      <c r="AR144">
        <v>190.77325400000001</v>
      </c>
      <c r="AS144">
        <v>40.632525999999999</v>
      </c>
      <c r="AT144">
        <v>33.148860999999997</v>
      </c>
      <c r="AU144">
        <v>288.85751299999998</v>
      </c>
      <c r="AV144">
        <v>40.974342</v>
      </c>
      <c r="AW144">
        <v>-1.2576590000000001</v>
      </c>
      <c r="AX144">
        <v>51.247025000000001</v>
      </c>
      <c r="AY144">
        <v>106.298897</v>
      </c>
      <c r="AZ144">
        <v>185.64866599999999</v>
      </c>
      <c r="BA144">
        <v>42.003566999999997</v>
      </c>
      <c r="BB144">
        <v>34.188015</v>
      </c>
      <c r="BC144">
        <v>6.8220499999999999</v>
      </c>
      <c r="BD144">
        <v>116.62406900000001</v>
      </c>
      <c r="BE144">
        <v>30.212378999999999</v>
      </c>
      <c r="BF144">
        <v>29.286176999999999</v>
      </c>
      <c r="BG144">
        <v>28.948005999999999</v>
      </c>
      <c r="BH144">
        <v>6</v>
      </c>
      <c r="BI144">
        <v>5</v>
      </c>
      <c r="BJ144">
        <v>16.666665999999999</v>
      </c>
      <c r="BK144">
        <v>30</v>
      </c>
      <c r="BL144">
        <v>3.015E-2</v>
      </c>
      <c r="BM144">
        <v>6.1900000000000002E-3</v>
      </c>
      <c r="BN144">
        <v>-1</v>
      </c>
      <c r="BO144">
        <v>3</v>
      </c>
      <c r="BP144">
        <v>1</v>
      </c>
      <c r="BQ144">
        <v>0.370004</v>
      </c>
      <c r="BR144">
        <v>156.91645800000001</v>
      </c>
      <c r="BS144">
        <v>57.116390000000003</v>
      </c>
      <c r="BT144">
        <v>4.0810000000000004E-3</v>
      </c>
      <c r="BU144">
        <v>1.2325660000000001</v>
      </c>
      <c r="BV144">
        <v>3.5420150000000001</v>
      </c>
      <c r="BW144">
        <v>0.35655100000000001</v>
      </c>
      <c r="BX144">
        <v>1.1921090000000001</v>
      </c>
      <c r="BY144">
        <v>2.1215299999999999</v>
      </c>
      <c r="BZ144">
        <v>8.5700999999999999E-2</v>
      </c>
      <c r="CA144">
        <v>2020</v>
      </c>
      <c r="CB144">
        <v>2</v>
      </c>
      <c r="CC144">
        <v>25</v>
      </c>
      <c r="CD144">
        <v>3</v>
      </c>
      <c r="CE144">
        <v>36</v>
      </c>
      <c r="CF144">
        <v>34.68</v>
      </c>
      <c r="CG144">
        <v>2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-0.26170399999999999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</row>
    <row r="145" spans="1:105" x14ac:dyDescent="0.25">
      <c r="A145">
        <v>144</v>
      </c>
      <c r="B145" t="s">
        <v>281</v>
      </c>
      <c r="C145">
        <v>58904.174591000003</v>
      </c>
      <c r="D145">
        <v>335.74377399999997</v>
      </c>
      <c r="E145" s="3" t="s">
        <v>106</v>
      </c>
      <c r="F145" s="3" t="s">
        <v>191</v>
      </c>
      <c r="G145">
        <v>-0.22337499999999999</v>
      </c>
      <c r="H145">
        <v>238.58755500000001</v>
      </c>
      <c r="I145">
        <v>10.993513999999999</v>
      </c>
      <c r="J145">
        <v>238.46838399999999</v>
      </c>
      <c r="K145">
        <v>10.670726999999999</v>
      </c>
      <c r="L145">
        <v>233.51312300000001</v>
      </c>
      <c r="M145">
        <v>30.201087999999999</v>
      </c>
      <c r="N145">
        <v>63.549487999999997</v>
      </c>
      <c r="O145">
        <v>63.549487999999997</v>
      </c>
      <c r="P145">
        <v>62.44838</v>
      </c>
      <c r="Q145">
        <v>40.267262000000002</v>
      </c>
      <c r="R145">
        <v>5.1808120000000004</v>
      </c>
      <c r="S145">
        <v>0.90735900000000003</v>
      </c>
      <c r="T145">
        <v>0.82486199999999998</v>
      </c>
      <c r="U145">
        <v>11.796999</v>
      </c>
      <c r="V145">
        <v>215.32356300000001</v>
      </c>
      <c r="W145">
        <v>335.74353000000002</v>
      </c>
      <c r="X145">
        <v>125.78627</v>
      </c>
      <c r="Y145" t="s">
        <v>282</v>
      </c>
      <c r="Z145">
        <v>1.798824</v>
      </c>
      <c r="AA145">
        <v>3.92557</v>
      </c>
      <c r="AB145">
        <v>0.1</v>
      </c>
      <c r="AC145">
        <v>4.9463879999999998</v>
      </c>
      <c r="AD145">
        <v>0.18</v>
      </c>
      <c r="AE145">
        <v>27.268000000000001</v>
      </c>
      <c r="AF145">
        <v>0</v>
      </c>
      <c r="AG145">
        <v>340.61325099999999</v>
      </c>
      <c r="AH145">
        <v>47.003990000000002</v>
      </c>
      <c r="AI145">
        <v>295.390961</v>
      </c>
      <c r="AJ145">
        <v>-20.354233000000001</v>
      </c>
      <c r="AK145">
        <v>180.88200399999999</v>
      </c>
      <c r="AL145">
        <v>41.174557</v>
      </c>
      <c r="AM145">
        <v>261.561981</v>
      </c>
      <c r="AN145">
        <v>63.935997</v>
      </c>
      <c r="AO145">
        <v>-1.744618</v>
      </c>
      <c r="AP145">
        <v>50.875247999999999</v>
      </c>
      <c r="AQ145">
        <v>107.01487</v>
      </c>
      <c r="AR145">
        <v>118.822937</v>
      </c>
      <c r="AS145">
        <v>58.646529999999998</v>
      </c>
      <c r="AT145">
        <v>24.627887999999999</v>
      </c>
      <c r="AU145">
        <v>174.39198300000001</v>
      </c>
      <c r="AV145">
        <v>42.162520999999998</v>
      </c>
      <c r="AW145">
        <v>-1.8060130000000001</v>
      </c>
      <c r="AX145">
        <v>50.933799999999998</v>
      </c>
      <c r="AY145">
        <v>98.803543000000005</v>
      </c>
      <c r="AZ145">
        <v>113.293007</v>
      </c>
      <c r="BA145">
        <v>63.592914999999998</v>
      </c>
      <c r="BB145">
        <v>25.916698</v>
      </c>
      <c r="BC145">
        <v>11.438909000000001</v>
      </c>
      <c r="BD145">
        <v>146.30050700000001</v>
      </c>
      <c r="BE145">
        <v>45.770870000000002</v>
      </c>
      <c r="BF145">
        <v>45.968021</v>
      </c>
      <c r="BG145">
        <v>45.705078</v>
      </c>
      <c r="BH145">
        <v>10</v>
      </c>
      <c r="BI145">
        <v>10</v>
      </c>
      <c r="BJ145">
        <v>0</v>
      </c>
      <c r="BK145">
        <v>87</v>
      </c>
      <c r="BL145">
        <v>2.759E-2</v>
      </c>
      <c r="BM145">
        <v>9.5399999999999999E-3</v>
      </c>
      <c r="BN145">
        <v>-1</v>
      </c>
      <c r="BO145">
        <v>3</v>
      </c>
      <c r="BP145">
        <v>1</v>
      </c>
      <c r="BQ145">
        <v>2.29</v>
      </c>
      <c r="BR145">
        <v>53.911568000000003</v>
      </c>
      <c r="BS145">
        <v>29.207996000000001</v>
      </c>
      <c r="BT145">
        <v>8.9840000000000007E-3</v>
      </c>
      <c r="BU145">
        <v>66.024017000000001</v>
      </c>
      <c r="BV145">
        <v>0.99813200000000002</v>
      </c>
      <c r="BW145">
        <v>0.34335399999999999</v>
      </c>
      <c r="BX145">
        <v>0.80637199999999998</v>
      </c>
      <c r="BY145">
        <v>1.844975</v>
      </c>
      <c r="BZ145">
        <v>0.94071499999999997</v>
      </c>
      <c r="CA145">
        <v>2020</v>
      </c>
      <c r="CB145">
        <v>2</v>
      </c>
      <c r="CC145">
        <v>25</v>
      </c>
      <c r="CD145">
        <v>4</v>
      </c>
      <c r="CE145">
        <v>11</v>
      </c>
      <c r="CF145">
        <v>24.679998000000001</v>
      </c>
      <c r="CG145">
        <v>2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0.19302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</row>
    <row r="146" spans="1:105" x14ac:dyDescent="0.25">
      <c r="A146">
        <v>145</v>
      </c>
      <c r="B146" t="s">
        <v>283</v>
      </c>
      <c r="C146">
        <v>58904.181979000001</v>
      </c>
      <c r="D146">
        <v>335.75122099999999</v>
      </c>
      <c r="E146" s="3" t="s">
        <v>122</v>
      </c>
      <c r="F146" s="3" t="s">
        <v>106</v>
      </c>
      <c r="G146">
        <v>-1.8399179999999999</v>
      </c>
      <c r="H146">
        <v>245.744507</v>
      </c>
      <c r="I146">
        <v>27.394133</v>
      </c>
      <c r="J146">
        <v>245.65107699999999</v>
      </c>
      <c r="K146">
        <v>27.205438999999998</v>
      </c>
      <c r="L146">
        <v>236.85763499999999</v>
      </c>
      <c r="M146">
        <v>47.879471000000002</v>
      </c>
      <c r="N146">
        <v>60.699455</v>
      </c>
      <c r="O146">
        <v>60.699455</v>
      </c>
      <c r="P146">
        <v>59.546467</v>
      </c>
      <c r="Q146">
        <v>45.515743000000001</v>
      </c>
      <c r="R146">
        <v>-3.1796679999999999</v>
      </c>
      <c r="S146">
        <v>0.97563200000000005</v>
      </c>
      <c r="T146">
        <v>1.306835</v>
      </c>
      <c r="U146">
        <v>0</v>
      </c>
      <c r="V146">
        <v>192.87170399999999</v>
      </c>
      <c r="W146">
        <v>335.75112899999999</v>
      </c>
      <c r="X146">
        <v>101.95890799999999</v>
      </c>
      <c r="Y146" t="s">
        <v>114</v>
      </c>
      <c r="Z146">
        <v>-1</v>
      </c>
      <c r="AA146">
        <v>-1</v>
      </c>
      <c r="AB146">
        <v>-1</v>
      </c>
      <c r="AC146">
        <v>3.853758</v>
      </c>
      <c r="AD146">
        <v>0.18</v>
      </c>
      <c r="AE146">
        <v>19.302999</v>
      </c>
      <c r="AF146">
        <v>0</v>
      </c>
      <c r="AG146">
        <v>46.203513999999998</v>
      </c>
      <c r="AH146">
        <v>61.193897</v>
      </c>
      <c r="AI146">
        <v>312.24600199999998</v>
      </c>
      <c r="AJ146">
        <v>-28.599815</v>
      </c>
      <c r="AK146">
        <v>176.66068999999999</v>
      </c>
      <c r="AL146">
        <v>19.637138</v>
      </c>
      <c r="AM146">
        <v>240.489822</v>
      </c>
      <c r="AN146">
        <v>43.687313000000003</v>
      </c>
      <c r="AO146">
        <v>-2.575666</v>
      </c>
      <c r="AP146">
        <v>52.279499000000001</v>
      </c>
      <c r="AQ146">
        <v>104.172569</v>
      </c>
      <c r="AR146">
        <v>149.53744499999999</v>
      </c>
      <c r="AS146">
        <v>63.053471000000002</v>
      </c>
      <c r="AT146">
        <v>51.180602999999998</v>
      </c>
      <c r="AU146">
        <v>172.88690199999999</v>
      </c>
      <c r="AV146">
        <v>18.185466999999999</v>
      </c>
      <c r="AW146">
        <v>-2.6421000000000001</v>
      </c>
      <c r="AX146">
        <v>52.311805999999997</v>
      </c>
      <c r="AY146">
        <v>94.972724999999997</v>
      </c>
      <c r="AZ146">
        <v>144.91394</v>
      </c>
      <c r="BA146">
        <v>66.907227000000006</v>
      </c>
      <c r="BB146">
        <v>53.512238000000004</v>
      </c>
      <c r="BC146">
        <v>10.925902000000001</v>
      </c>
      <c r="BD146">
        <v>128.43722500000001</v>
      </c>
      <c r="BE146">
        <v>57.241100000000003</v>
      </c>
      <c r="BF146">
        <v>57.578704999999999</v>
      </c>
      <c r="BG146">
        <v>57.459049</v>
      </c>
      <c r="BH146">
        <v>10</v>
      </c>
      <c r="BI146">
        <v>10</v>
      </c>
      <c r="BJ146">
        <v>0</v>
      </c>
      <c r="BK146">
        <v>28</v>
      </c>
      <c r="BL146">
        <v>2.4230000000000002E-2</v>
      </c>
      <c r="BM146">
        <v>8.6400000000000001E-3</v>
      </c>
      <c r="BN146">
        <v>-1</v>
      </c>
      <c r="BO146">
        <v>3</v>
      </c>
      <c r="BP146">
        <v>1</v>
      </c>
      <c r="BQ146">
        <v>0.300008</v>
      </c>
      <c r="BR146">
        <v>201.685608</v>
      </c>
      <c r="BS146">
        <v>60.928981999999998</v>
      </c>
      <c r="BT146">
        <v>1.1249999999999999E-3</v>
      </c>
      <c r="BU146">
        <v>69.896193999999994</v>
      </c>
      <c r="BV146">
        <v>5.5560109999999998</v>
      </c>
      <c r="BW146">
        <v>0.206151</v>
      </c>
      <c r="BX146">
        <v>0.53557900000000003</v>
      </c>
      <c r="BY146">
        <v>0.666157</v>
      </c>
      <c r="BZ146">
        <v>8.5863999999999996E-2</v>
      </c>
      <c r="CA146">
        <v>2020</v>
      </c>
      <c r="CB146">
        <v>2</v>
      </c>
      <c r="CC146">
        <v>25</v>
      </c>
      <c r="CD146">
        <v>4</v>
      </c>
      <c r="CE146">
        <v>22</v>
      </c>
      <c r="CF146">
        <v>2.9799959999999999</v>
      </c>
      <c r="CG146">
        <v>2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-0.314498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</row>
    <row r="147" spans="1:105" x14ac:dyDescent="0.25">
      <c r="A147">
        <v>146</v>
      </c>
      <c r="B147" t="s">
        <v>284</v>
      </c>
      <c r="C147">
        <v>58904.200827000001</v>
      </c>
      <c r="D147">
        <v>335.770172</v>
      </c>
      <c r="E147" s="3" t="s">
        <v>122</v>
      </c>
      <c r="F147" s="3" t="s">
        <v>113</v>
      </c>
      <c r="G147">
        <v>-2.2581190000000002</v>
      </c>
      <c r="H147">
        <v>162.10871900000001</v>
      </c>
      <c r="I147">
        <v>10.977884</v>
      </c>
      <c r="J147">
        <v>159.85475199999999</v>
      </c>
      <c r="K147">
        <v>8.2690110000000008</v>
      </c>
      <c r="L147">
        <v>158.29003900000001</v>
      </c>
      <c r="M147">
        <v>-0.20629700000000001</v>
      </c>
      <c r="N147">
        <v>27.242402999999999</v>
      </c>
      <c r="O147">
        <v>27.242402999999999</v>
      </c>
      <c r="P147">
        <v>25.114166000000001</v>
      </c>
      <c r="Q147">
        <v>38.088420999999997</v>
      </c>
      <c r="R147">
        <v>2.5943429999999998</v>
      </c>
      <c r="S147">
        <v>0.51545600000000003</v>
      </c>
      <c r="T147">
        <v>0.801315</v>
      </c>
      <c r="U147">
        <v>4.1803800000000004</v>
      </c>
      <c r="V147">
        <v>94.42765</v>
      </c>
      <c r="W147">
        <v>155.65493799999999</v>
      </c>
      <c r="X147">
        <v>0.17952299999999999</v>
      </c>
      <c r="Y147" t="s">
        <v>114</v>
      </c>
      <c r="Z147">
        <v>-1</v>
      </c>
      <c r="AA147">
        <v>-1</v>
      </c>
      <c r="AB147">
        <v>-1.4</v>
      </c>
      <c r="AC147">
        <v>4.1253409999999997</v>
      </c>
      <c r="AD147">
        <v>1.06</v>
      </c>
      <c r="AE147">
        <v>3.758</v>
      </c>
      <c r="AF147">
        <v>0</v>
      </c>
      <c r="AG147">
        <v>293.19509900000003</v>
      </c>
      <c r="AH147">
        <v>73.555367000000004</v>
      </c>
      <c r="AI147">
        <v>197.03671299999999</v>
      </c>
      <c r="AJ147">
        <v>36.287177999999997</v>
      </c>
      <c r="AK147">
        <v>181.416245</v>
      </c>
      <c r="AL147">
        <v>6.2497170000000004</v>
      </c>
      <c r="AM147">
        <v>233.788895</v>
      </c>
      <c r="AN147">
        <v>31.228128000000002</v>
      </c>
      <c r="AO147">
        <v>-2.8259189999999998</v>
      </c>
      <c r="AP147">
        <v>52.021884999999997</v>
      </c>
      <c r="AQ147">
        <v>85.408302000000006</v>
      </c>
      <c r="AR147">
        <v>161.88681</v>
      </c>
      <c r="AS147">
        <v>19.658944999999999</v>
      </c>
      <c r="AT147">
        <v>17.550357999999999</v>
      </c>
      <c r="AU147">
        <v>185.41241500000001</v>
      </c>
      <c r="AV147">
        <v>5.1510030000000002</v>
      </c>
      <c r="AW147">
        <v>-2.4652639999999999</v>
      </c>
      <c r="AX147">
        <v>52.084442000000003</v>
      </c>
      <c r="AY147">
        <v>72.907332999999994</v>
      </c>
      <c r="AZ147">
        <v>135.04293799999999</v>
      </c>
      <c r="BA147">
        <v>23.784285000000001</v>
      </c>
      <c r="BB147">
        <v>21.191417999999999</v>
      </c>
      <c r="BC147">
        <v>28.876944999999999</v>
      </c>
      <c r="BD147">
        <v>253.75491299999999</v>
      </c>
      <c r="BE147">
        <v>25.837686999999999</v>
      </c>
      <c r="BF147">
        <v>24.692785000000001</v>
      </c>
      <c r="BG147">
        <v>21.194126000000001</v>
      </c>
      <c r="BH147">
        <v>54</v>
      </c>
      <c r="BI147">
        <v>54</v>
      </c>
      <c r="BJ147">
        <v>0</v>
      </c>
      <c r="BK147">
        <v>21</v>
      </c>
      <c r="BL147">
        <v>2.264E-2</v>
      </c>
      <c r="BM147">
        <v>6.43E-3</v>
      </c>
      <c r="BN147">
        <v>-1</v>
      </c>
      <c r="BO147">
        <v>3</v>
      </c>
      <c r="BP147">
        <v>1</v>
      </c>
      <c r="BQ147">
        <v>0.14999899999999999</v>
      </c>
      <c r="BR147">
        <v>239.79837000000001</v>
      </c>
      <c r="BS147">
        <v>63.679797999999998</v>
      </c>
      <c r="BT147">
        <v>4.6700000000000002E-4</v>
      </c>
      <c r="BU147">
        <v>23.797882000000001</v>
      </c>
      <c r="BV147">
        <v>6.3582270000000003</v>
      </c>
      <c r="BW147">
        <v>3.503622</v>
      </c>
      <c r="BX147">
        <v>0.151254</v>
      </c>
      <c r="BY147">
        <v>0.41842499999999999</v>
      </c>
      <c r="BZ147">
        <v>0.98333300000000001</v>
      </c>
      <c r="CA147">
        <v>2020</v>
      </c>
      <c r="CB147">
        <v>2</v>
      </c>
      <c r="CC147">
        <v>25</v>
      </c>
      <c r="CD147">
        <v>4</v>
      </c>
      <c r="CE147">
        <v>49</v>
      </c>
      <c r="CF147">
        <v>11.480003999999999</v>
      </c>
      <c r="CG147">
        <v>2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0.38545400000000002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</row>
    <row r="148" spans="1:105" x14ac:dyDescent="0.25">
      <c r="A148">
        <v>147</v>
      </c>
      <c r="B148" t="s">
        <v>285</v>
      </c>
      <c r="C148">
        <v>58904.234230000002</v>
      </c>
      <c r="D148">
        <v>335.80380200000002</v>
      </c>
      <c r="E148" s="3" t="s">
        <v>154</v>
      </c>
      <c r="F148" s="3" t="s">
        <v>191</v>
      </c>
      <c r="G148">
        <v>0.66966400000000004</v>
      </c>
      <c r="H148">
        <v>251.54252600000001</v>
      </c>
      <c r="I148">
        <v>-7.5461499999999999</v>
      </c>
      <c r="J148">
        <v>251.411835</v>
      </c>
      <c r="K148">
        <v>-7.7507109999999999</v>
      </c>
      <c r="L148">
        <v>250.96212800000001</v>
      </c>
      <c r="M148">
        <v>14.466021</v>
      </c>
      <c r="N148">
        <v>99.865707</v>
      </c>
      <c r="O148">
        <v>99.865707</v>
      </c>
      <c r="P148">
        <v>99.169289000000006</v>
      </c>
      <c r="Q148">
        <v>70.639740000000003</v>
      </c>
      <c r="R148">
        <v>-0.27746100000000001</v>
      </c>
      <c r="S148">
        <v>0.97984099999999996</v>
      </c>
      <c r="T148">
        <v>4.53146</v>
      </c>
      <c r="U148">
        <v>0</v>
      </c>
      <c r="V148">
        <v>171.04093900000001</v>
      </c>
      <c r="W148">
        <v>335.80285600000002</v>
      </c>
      <c r="X148">
        <v>159.29278600000001</v>
      </c>
      <c r="Y148" t="s">
        <v>114</v>
      </c>
      <c r="Z148">
        <v>-1</v>
      </c>
      <c r="AA148">
        <v>-1</v>
      </c>
      <c r="AB148">
        <v>1.8</v>
      </c>
      <c r="AC148">
        <v>0.85141100000000003</v>
      </c>
      <c r="AD148">
        <v>0.16</v>
      </c>
      <c r="AE148">
        <v>5.34</v>
      </c>
      <c r="AF148">
        <v>0</v>
      </c>
      <c r="AG148">
        <v>345.72305299999999</v>
      </c>
      <c r="AH148">
        <v>-28.823961000000001</v>
      </c>
      <c r="AI148">
        <v>281.35333300000002</v>
      </c>
      <c r="AJ148">
        <v>-9.6770390000000006</v>
      </c>
      <c r="AK148">
        <v>255.70268200000001</v>
      </c>
      <c r="AL148">
        <v>-3.7035999999999999E-2</v>
      </c>
      <c r="AM148">
        <v>157.197937</v>
      </c>
      <c r="AN148">
        <v>36.734783</v>
      </c>
      <c r="AO148">
        <v>-0.28269300000000003</v>
      </c>
      <c r="AP148">
        <v>49.787394999999997</v>
      </c>
      <c r="AQ148">
        <v>107.285416</v>
      </c>
      <c r="AR148">
        <v>176.18446399999999</v>
      </c>
      <c r="AS148">
        <v>8.5786350000000002</v>
      </c>
      <c r="AT148">
        <v>5.1067010000000002</v>
      </c>
      <c r="AU148">
        <v>256.11318999999997</v>
      </c>
      <c r="AV148">
        <v>0.70888099999999998</v>
      </c>
      <c r="AW148">
        <v>-0.33130900000000002</v>
      </c>
      <c r="AX148">
        <v>49.903503000000001</v>
      </c>
      <c r="AY148">
        <v>98.934287999999995</v>
      </c>
      <c r="AZ148">
        <v>160.402435</v>
      </c>
      <c r="BA148">
        <v>9.4300460000000008</v>
      </c>
      <c r="BB148">
        <v>5.61069</v>
      </c>
      <c r="BC148">
        <v>15.978513</v>
      </c>
      <c r="BD148">
        <v>164.59368900000001</v>
      </c>
      <c r="BE148">
        <v>31.486063000000001</v>
      </c>
      <c r="BF148">
        <v>30.250330000000002</v>
      </c>
      <c r="BG148">
        <v>30.071266000000001</v>
      </c>
      <c r="BH148">
        <v>9</v>
      </c>
      <c r="BI148">
        <v>9</v>
      </c>
      <c r="BJ148">
        <v>0</v>
      </c>
      <c r="BK148">
        <v>75</v>
      </c>
      <c r="BL148">
        <v>1.619E-2</v>
      </c>
      <c r="BM148">
        <v>4.1799999999999997E-3</v>
      </c>
      <c r="BN148">
        <v>-1</v>
      </c>
      <c r="BO148">
        <v>3</v>
      </c>
      <c r="BP148">
        <v>1</v>
      </c>
      <c r="BQ148">
        <v>2.63</v>
      </c>
      <c r="BR148">
        <v>53.911568000000003</v>
      </c>
      <c r="BS148">
        <v>36.635432999999999</v>
      </c>
      <c r="BT148">
        <v>1.074E-2</v>
      </c>
      <c r="BU148">
        <v>15.249055</v>
      </c>
      <c r="BV148">
        <v>18.612062000000002</v>
      </c>
      <c r="BW148">
        <v>0.242121</v>
      </c>
      <c r="BX148">
        <v>0.32636599999999999</v>
      </c>
      <c r="BY148">
        <v>3.3381449999999999</v>
      </c>
      <c r="BZ148">
        <v>8.9610000000000002E-3</v>
      </c>
      <c r="CA148">
        <v>2020</v>
      </c>
      <c r="CB148">
        <v>2</v>
      </c>
      <c r="CC148">
        <v>25</v>
      </c>
      <c r="CD148">
        <v>5</v>
      </c>
      <c r="CE148">
        <v>37</v>
      </c>
      <c r="CF148">
        <v>17.449997</v>
      </c>
      <c r="CG148">
        <v>2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-3.6041150000000002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</row>
    <row r="149" spans="1:105" x14ac:dyDescent="0.25">
      <c r="A149">
        <v>148</v>
      </c>
      <c r="B149" t="s">
        <v>286</v>
      </c>
      <c r="C149">
        <v>58904.240922999998</v>
      </c>
      <c r="D149">
        <v>335.81054699999999</v>
      </c>
      <c r="E149" s="3" t="s">
        <v>122</v>
      </c>
      <c r="F149" s="3" t="s">
        <v>106</v>
      </c>
      <c r="G149">
        <v>-0.40108199999999999</v>
      </c>
      <c r="H149">
        <v>250.044556</v>
      </c>
      <c r="I149">
        <v>-0.75436800000000004</v>
      </c>
      <c r="J149">
        <v>249.84425400000001</v>
      </c>
      <c r="K149">
        <v>-1.315177</v>
      </c>
      <c r="L149">
        <v>248.40339700000001</v>
      </c>
      <c r="M149">
        <v>20.623196</v>
      </c>
      <c r="N149">
        <v>56.982013999999999</v>
      </c>
      <c r="O149">
        <v>56.982013999999999</v>
      </c>
      <c r="P149">
        <v>55.825660999999997</v>
      </c>
      <c r="Q149">
        <v>29.703994999999999</v>
      </c>
      <c r="R149">
        <v>0.97451100000000002</v>
      </c>
      <c r="S149">
        <v>0.88275400000000004</v>
      </c>
      <c r="T149">
        <v>9.4158000000000006E-2</v>
      </c>
      <c r="U149">
        <v>0.962399</v>
      </c>
      <c r="V149">
        <v>75.163398999999998</v>
      </c>
      <c r="W149">
        <v>335.81011999999998</v>
      </c>
      <c r="X149">
        <v>138.330917</v>
      </c>
      <c r="Y149" t="s">
        <v>114</v>
      </c>
      <c r="Z149">
        <v>-1</v>
      </c>
      <c r="AA149">
        <v>-1</v>
      </c>
      <c r="AB149">
        <v>0.5</v>
      </c>
      <c r="AC149">
        <v>1.803839</v>
      </c>
      <c r="AD149">
        <v>0.16</v>
      </c>
      <c r="AE149">
        <v>13.757</v>
      </c>
      <c r="AF149">
        <v>0</v>
      </c>
      <c r="AG149">
        <v>337.63952599999999</v>
      </c>
      <c r="AH149">
        <v>72.579505999999995</v>
      </c>
      <c r="AI149">
        <v>278.63293499999997</v>
      </c>
      <c r="AJ149">
        <v>-8.2050809999999998</v>
      </c>
      <c r="AK149">
        <v>220.63829000000001</v>
      </c>
      <c r="AL149">
        <v>8.1075999999999997</v>
      </c>
      <c r="AM149">
        <v>206.26956200000001</v>
      </c>
      <c r="AN149">
        <v>42.618088</v>
      </c>
      <c r="AO149">
        <v>-1.943854</v>
      </c>
      <c r="AP149">
        <v>51.848117999999999</v>
      </c>
      <c r="AQ149">
        <v>106.26969099999999</v>
      </c>
      <c r="AR149">
        <v>155.31776400000001</v>
      </c>
      <c r="AS149">
        <v>30.624838</v>
      </c>
      <c r="AT149">
        <v>22.881202999999999</v>
      </c>
      <c r="AU149">
        <v>218.88012699999999</v>
      </c>
      <c r="AV149">
        <v>8.5849360000000008</v>
      </c>
      <c r="AW149">
        <v>-1.9680359999999999</v>
      </c>
      <c r="AX149">
        <v>51.910941999999999</v>
      </c>
      <c r="AY149">
        <v>100.833878</v>
      </c>
      <c r="AZ149">
        <v>147.54539500000001</v>
      </c>
      <c r="BA149">
        <v>32.428677</v>
      </c>
      <c r="BB149">
        <v>24.161118999999999</v>
      </c>
      <c r="BC149">
        <v>9.1171220000000002</v>
      </c>
      <c r="BD149">
        <v>166.32853700000001</v>
      </c>
      <c r="BE149">
        <v>36.553719000000001</v>
      </c>
      <c r="BF149">
        <v>35.776676000000002</v>
      </c>
      <c r="BG149">
        <v>35.246326000000003</v>
      </c>
      <c r="BH149">
        <v>9</v>
      </c>
      <c r="BI149">
        <v>9</v>
      </c>
      <c r="BJ149">
        <v>0</v>
      </c>
      <c r="BK149">
        <v>29</v>
      </c>
      <c r="BL149">
        <v>2.9559999999999999E-2</v>
      </c>
      <c r="BM149">
        <v>1.485E-2</v>
      </c>
      <c r="BN149">
        <v>-1</v>
      </c>
      <c r="BO149">
        <v>3</v>
      </c>
      <c r="BP149">
        <v>1</v>
      </c>
      <c r="BQ149">
        <v>0.129993</v>
      </c>
      <c r="BR149">
        <v>201.685608</v>
      </c>
      <c r="BS149">
        <v>49.753501999999997</v>
      </c>
      <c r="BT149">
        <v>5.44E-4</v>
      </c>
      <c r="BU149">
        <v>59.551929000000001</v>
      </c>
      <c r="BV149">
        <v>10.299450999999999</v>
      </c>
      <c r="BW149">
        <v>0.595495</v>
      </c>
      <c r="BX149">
        <v>0.81282500000000002</v>
      </c>
      <c r="BY149">
        <v>1.9858720000000001</v>
      </c>
      <c r="BZ149">
        <v>0.93650500000000003</v>
      </c>
      <c r="CA149">
        <v>2020</v>
      </c>
      <c r="CB149">
        <v>2</v>
      </c>
      <c r="CC149">
        <v>25</v>
      </c>
      <c r="CD149">
        <v>5</v>
      </c>
      <c r="CE149">
        <v>46</v>
      </c>
      <c r="CF149">
        <v>55.730003000000004</v>
      </c>
      <c r="CG149">
        <v>2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1.0261549999999999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</row>
    <row r="150" spans="1:105" x14ac:dyDescent="0.25">
      <c r="A150">
        <v>149</v>
      </c>
      <c r="B150" t="s">
        <v>287</v>
      </c>
      <c r="C150">
        <v>58904.818366</v>
      </c>
      <c r="D150">
        <v>336.39160199999998</v>
      </c>
      <c r="E150" s="3" t="s">
        <v>242</v>
      </c>
      <c r="F150" s="3" t="s">
        <v>191</v>
      </c>
      <c r="G150">
        <v>0.90132599999999996</v>
      </c>
      <c r="H150">
        <v>189.78303500000001</v>
      </c>
      <c r="I150">
        <v>31.985968</v>
      </c>
      <c r="J150">
        <v>191.25848400000001</v>
      </c>
      <c r="K150">
        <v>30.848721000000001</v>
      </c>
      <c r="L150">
        <v>176.59068300000001</v>
      </c>
      <c r="M150">
        <v>32.488857000000003</v>
      </c>
      <c r="N150">
        <v>39.324843999999999</v>
      </c>
      <c r="O150">
        <v>39.324843999999999</v>
      </c>
      <c r="P150">
        <v>37.448914000000002</v>
      </c>
      <c r="Q150">
        <v>40.352950999999997</v>
      </c>
      <c r="R150">
        <v>5.4073799999999999</v>
      </c>
      <c r="S150">
        <v>0.44514599999999999</v>
      </c>
      <c r="T150">
        <v>0.91767799999999999</v>
      </c>
      <c r="U150">
        <v>12.579257999999999</v>
      </c>
      <c r="V150">
        <v>278.62451199999998</v>
      </c>
      <c r="W150">
        <v>336.39196800000002</v>
      </c>
      <c r="X150">
        <v>46.347217999999998</v>
      </c>
      <c r="Y150" t="s">
        <v>114</v>
      </c>
      <c r="Z150">
        <v>-1</v>
      </c>
      <c r="AA150">
        <v>-1</v>
      </c>
      <c r="AB150">
        <v>1.9</v>
      </c>
      <c r="AC150">
        <v>3.200787</v>
      </c>
      <c r="AD150">
        <v>0.36</v>
      </c>
      <c r="AE150">
        <v>8.6910000000000007</v>
      </c>
      <c r="AF150">
        <v>0</v>
      </c>
      <c r="AG150">
        <v>9.2467279999999992</v>
      </c>
      <c r="AH150">
        <v>58.012905000000003</v>
      </c>
      <c r="AI150">
        <v>34.707413000000003</v>
      </c>
      <c r="AJ150">
        <v>-33.583626000000002</v>
      </c>
      <c r="AK150">
        <v>148.01713599999999</v>
      </c>
      <c r="AL150">
        <v>25.160049000000001</v>
      </c>
      <c r="AM150">
        <v>94.519988999999995</v>
      </c>
      <c r="AN150">
        <v>36.813533999999997</v>
      </c>
      <c r="AO150">
        <v>358.592896</v>
      </c>
      <c r="AP150">
        <v>50.582267999999999</v>
      </c>
      <c r="AQ150">
        <v>100.280823</v>
      </c>
      <c r="AR150">
        <v>163.92065400000001</v>
      </c>
      <c r="AS150">
        <v>37.077885000000002</v>
      </c>
      <c r="AT150">
        <v>15.333776</v>
      </c>
      <c r="AU150">
        <v>144.73365799999999</v>
      </c>
      <c r="AV150">
        <v>24.006525</v>
      </c>
      <c r="AW150">
        <v>358.42938199999998</v>
      </c>
      <c r="AX150">
        <v>50.523563000000003</v>
      </c>
      <c r="AY150">
        <v>96.014022999999995</v>
      </c>
      <c r="AZ150">
        <v>152.86447100000001</v>
      </c>
      <c r="BA150">
        <v>40.278671000000003</v>
      </c>
      <c r="BB150">
        <v>16.473257</v>
      </c>
      <c r="BC150">
        <v>14.156943999999999</v>
      </c>
      <c r="BD150">
        <v>60.620747000000001</v>
      </c>
      <c r="BE150">
        <v>17.382270999999999</v>
      </c>
      <c r="BF150">
        <v>16.439229999999998</v>
      </c>
      <c r="BG150">
        <v>14.760448999999999</v>
      </c>
      <c r="BH150">
        <v>19</v>
      </c>
      <c r="BI150">
        <v>6</v>
      </c>
      <c r="BJ150">
        <v>68.421051000000006</v>
      </c>
      <c r="BK150">
        <v>0</v>
      </c>
      <c r="BL150">
        <v>0.1</v>
      </c>
      <c r="BM150">
        <v>3.0710000000000001E-2</v>
      </c>
      <c r="BN150">
        <v>-1</v>
      </c>
      <c r="BO150">
        <v>3</v>
      </c>
      <c r="BP150">
        <v>1</v>
      </c>
      <c r="BQ150">
        <v>1.6899930000000001</v>
      </c>
      <c r="BR150">
        <v>103.00412</v>
      </c>
      <c r="BS150">
        <v>26.015612000000001</v>
      </c>
      <c r="BT150">
        <v>5.8820000000000001E-3</v>
      </c>
      <c r="BU150">
        <v>29.491472000000002</v>
      </c>
      <c r="BV150">
        <v>4.1369000000000003E-2</v>
      </c>
      <c r="BW150">
        <v>1.6966509999999999</v>
      </c>
      <c r="BX150">
        <v>3.0711550000000001</v>
      </c>
      <c r="BY150">
        <v>10.830408</v>
      </c>
      <c r="BZ150">
        <v>0.59693399999999996</v>
      </c>
      <c r="CA150">
        <v>2020</v>
      </c>
      <c r="CB150">
        <v>2</v>
      </c>
      <c r="CC150">
        <v>25</v>
      </c>
      <c r="CD150">
        <v>19</v>
      </c>
      <c r="CE150">
        <v>38</v>
      </c>
      <c r="CF150">
        <v>26.820004000000001</v>
      </c>
      <c r="CG150">
        <v>2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0.18493200000000001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</row>
    <row r="151" spans="1:105" x14ac:dyDescent="0.25">
      <c r="A151">
        <v>150</v>
      </c>
      <c r="B151" t="s">
        <v>288</v>
      </c>
      <c r="C151">
        <v>58904.949994000002</v>
      </c>
      <c r="D151">
        <v>336.52404799999999</v>
      </c>
      <c r="E151" s="3" t="s">
        <v>106</v>
      </c>
      <c r="F151" s="3" t="s">
        <v>191</v>
      </c>
      <c r="G151">
        <v>-0.74342900000000001</v>
      </c>
      <c r="H151">
        <v>186.70474200000001</v>
      </c>
      <c r="I151">
        <v>29.698955999999999</v>
      </c>
      <c r="J151">
        <v>187.238541</v>
      </c>
      <c r="K151">
        <v>29.115828</v>
      </c>
      <c r="L151">
        <v>173.90585300000001</v>
      </c>
      <c r="M151">
        <v>29.354814999999999</v>
      </c>
      <c r="N151">
        <v>37.293250999999998</v>
      </c>
      <c r="O151">
        <v>37.293250999999998</v>
      </c>
      <c r="P151">
        <v>35.373047</v>
      </c>
      <c r="Q151">
        <v>39.741821000000002</v>
      </c>
      <c r="R151">
        <v>4.1658520000000001</v>
      </c>
      <c r="S151">
        <v>0.42907299999999998</v>
      </c>
      <c r="T151">
        <v>0.89700199999999997</v>
      </c>
      <c r="U151">
        <v>8.5060990000000007</v>
      </c>
      <c r="V151">
        <v>281.42867999999999</v>
      </c>
      <c r="W151">
        <v>336.524475</v>
      </c>
      <c r="X151">
        <v>39.700767999999997</v>
      </c>
      <c r="Y151" t="s">
        <v>114</v>
      </c>
      <c r="Z151">
        <v>-1</v>
      </c>
      <c r="AA151">
        <v>-1</v>
      </c>
      <c r="AB151">
        <v>-0.8</v>
      </c>
      <c r="AC151">
        <v>4.3698269999999999</v>
      </c>
      <c r="AD151">
        <v>0.22</v>
      </c>
      <c r="AE151">
        <v>19.922001000000002</v>
      </c>
      <c r="AF151">
        <v>0</v>
      </c>
      <c r="AG151">
        <v>105.638481</v>
      </c>
      <c r="AH151">
        <v>-15.230612000000001</v>
      </c>
      <c r="AI151">
        <v>346.06497200000001</v>
      </c>
      <c r="AJ151">
        <v>-37.972583999999998</v>
      </c>
      <c r="AK151">
        <v>92.184432999999999</v>
      </c>
      <c r="AL151">
        <v>74.360382000000001</v>
      </c>
      <c r="AM151">
        <v>337.82705700000002</v>
      </c>
      <c r="AN151">
        <v>60.594535999999998</v>
      </c>
      <c r="AO151">
        <v>358.71707199999997</v>
      </c>
      <c r="AP151">
        <v>51.342308000000003</v>
      </c>
      <c r="AQ151">
        <v>86.596725000000006</v>
      </c>
      <c r="AR151">
        <v>99.170852999999994</v>
      </c>
      <c r="AS151">
        <v>62.700358999999999</v>
      </c>
      <c r="AT151">
        <v>23.913319000000001</v>
      </c>
      <c r="AU151">
        <v>77.595551</v>
      </c>
      <c r="AV151">
        <v>72.855773999999997</v>
      </c>
      <c r="AW151">
        <v>358.63885499999998</v>
      </c>
      <c r="AX151">
        <v>51.350845</v>
      </c>
      <c r="AY151">
        <v>80.606399999999994</v>
      </c>
      <c r="AZ151">
        <v>95.686058000000003</v>
      </c>
      <c r="BA151">
        <v>67.070183</v>
      </c>
      <c r="BB151">
        <v>24.841953</v>
      </c>
      <c r="BC151">
        <v>8.2045150000000007</v>
      </c>
      <c r="BD151">
        <v>100.005348</v>
      </c>
      <c r="BE151">
        <v>46.688178999999998</v>
      </c>
      <c r="BF151">
        <v>46.92033</v>
      </c>
      <c r="BG151">
        <v>46.179732999999999</v>
      </c>
      <c r="BH151">
        <v>12</v>
      </c>
      <c r="BI151">
        <v>12</v>
      </c>
      <c r="BJ151">
        <v>0</v>
      </c>
      <c r="BK151">
        <v>46</v>
      </c>
      <c r="BL151">
        <v>2.1479999999999999E-2</v>
      </c>
      <c r="BM151">
        <v>1.5480000000000001E-2</v>
      </c>
      <c r="BN151">
        <v>-1</v>
      </c>
      <c r="BO151">
        <v>3</v>
      </c>
      <c r="BP151">
        <v>1</v>
      </c>
      <c r="BQ151">
        <v>2.689997</v>
      </c>
      <c r="BR151">
        <v>53.911568000000003</v>
      </c>
      <c r="BS151">
        <v>27.139679000000001</v>
      </c>
      <c r="BT151">
        <v>8.8050000000000003E-3</v>
      </c>
      <c r="BU151">
        <v>82.530403000000007</v>
      </c>
      <c r="BV151">
        <v>2.0933540000000002</v>
      </c>
      <c r="BW151">
        <v>0.74583900000000003</v>
      </c>
      <c r="BX151">
        <v>0.87309700000000001</v>
      </c>
      <c r="BY151">
        <v>2.0782240000000001</v>
      </c>
      <c r="BZ151">
        <v>0.93374599999999996</v>
      </c>
      <c r="CA151">
        <v>2020</v>
      </c>
      <c r="CB151">
        <v>2</v>
      </c>
      <c r="CC151">
        <v>25</v>
      </c>
      <c r="CD151">
        <v>22</v>
      </c>
      <c r="CE151">
        <v>47</v>
      </c>
      <c r="CF151">
        <v>59.490001999999997</v>
      </c>
      <c r="CG151">
        <v>2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0.24004700000000001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</row>
    <row r="152" spans="1:105" x14ac:dyDescent="0.25">
      <c r="A152">
        <v>151</v>
      </c>
      <c r="B152" t="s">
        <v>289</v>
      </c>
      <c r="C152">
        <v>58904.994835999998</v>
      </c>
      <c r="D152">
        <v>336.56915300000003</v>
      </c>
      <c r="E152" s="3" t="s">
        <v>113</v>
      </c>
      <c r="F152" s="3" t="s">
        <v>106</v>
      </c>
      <c r="G152">
        <v>-0.84135400000000005</v>
      </c>
      <c r="H152">
        <v>186.42967200000001</v>
      </c>
      <c r="I152">
        <v>31.100940999999999</v>
      </c>
      <c r="J152">
        <v>186.56561300000001</v>
      </c>
      <c r="K152">
        <v>30.706016999999999</v>
      </c>
      <c r="L152">
        <v>172.47067300000001</v>
      </c>
      <c r="M152">
        <v>30.504601999999998</v>
      </c>
      <c r="N152">
        <v>39.615349000000002</v>
      </c>
      <c r="O152">
        <v>39.615349000000002</v>
      </c>
      <c r="P152">
        <v>37.852383000000003</v>
      </c>
      <c r="Q152">
        <v>42.141953000000001</v>
      </c>
      <c r="R152">
        <v>54.086692999999997</v>
      </c>
      <c r="S152">
        <v>0.45308599999999999</v>
      </c>
      <c r="T152">
        <v>0.99162300000000003</v>
      </c>
      <c r="U152">
        <v>397.93341099999998</v>
      </c>
      <c r="V152">
        <v>275.115814</v>
      </c>
      <c r="W152">
        <v>336.56954999999999</v>
      </c>
      <c r="X152">
        <v>42.239876000000002</v>
      </c>
      <c r="Y152" t="s">
        <v>114</v>
      </c>
      <c r="Z152">
        <v>-1</v>
      </c>
      <c r="AA152">
        <v>-1</v>
      </c>
      <c r="AB152">
        <v>-0.5</v>
      </c>
      <c r="AC152">
        <v>1.4716689999999999</v>
      </c>
      <c r="AD152">
        <v>0.12</v>
      </c>
      <c r="AE152">
        <v>12.037000000000001</v>
      </c>
      <c r="AF152">
        <v>0</v>
      </c>
      <c r="AG152">
        <v>84.476273000000006</v>
      </c>
      <c r="AH152">
        <v>18.948758999999999</v>
      </c>
      <c r="AI152">
        <v>327.90185500000001</v>
      </c>
      <c r="AJ152">
        <v>-34.758343000000004</v>
      </c>
      <c r="AK152">
        <v>218.759308</v>
      </c>
      <c r="AL152">
        <v>63.815266000000001</v>
      </c>
      <c r="AM152">
        <v>43.131183999999998</v>
      </c>
      <c r="AN152">
        <v>52.997478000000001</v>
      </c>
      <c r="AO152">
        <v>357.73925800000001</v>
      </c>
      <c r="AP152">
        <v>51.340691</v>
      </c>
      <c r="AQ152">
        <v>95.505318000000003</v>
      </c>
      <c r="AR152">
        <v>118.864525</v>
      </c>
      <c r="AS152">
        <v>38.481861000000002</v>
      </c>
      <c r="AT152">
        <v>33.434902000000001</v>
      </c>
      <c r="AU152">
        <v>221.30246</v>
      </c>
      <c r="AV152">
        <v>64.790108000000004</v>
      </c>
      <c r="AW152">
        <v>357.70602400000001</v>
      </c>
      <c r="AX152">
        <v>51.349983000000002</v>
      </c>
      <c r="AY152">
        <v>91.511353</v>
      </c>
      <c r="AZ152">
        <v>115.18119</v>
      </c>
      <c r="BA152">
        <v>39.953533</v>
      </c>
      <c r="BB152">
        <v>34.653289999999998</v>
      </c>
      <c r="BC152">
        <v>4.7538419999999997</v>
      </c>
      <c r="BD152">
        <v>114.178253</v>
      </c>
      <c r="BE152">
        <v>56.940479000000003</v>
      </c>
      <c r="BF152">
        <v>56.728065000000001</v>
      </c>
      <c r="BG152">
        <v>56.358311</v>
      </c>
      <c r="BH152">
        <v>7</v>
      </c>
      <c r="BI152">
        <v>7</v>
      </c>
      <c r="BJ152">
        <v>0</v>
      </c>
      <c r="BK152">
        <v>4</v>
      </c>
      <c r="BL152">
        <v>0.1898</v>
      </c>
      <c r="BM152">
        <v>6.2899999999999996E-3</v>
      </c>
      <c r="BN152">
        <v>-1</v>
      </c>
      <c r="BO152">
        <v>3</v>
      </c>
      <c r="BP152">
        <v>1</v>
      </c>
      <c r="BQ152">
        <v>5.9998000000000003E-2</v>
      </c>
      <c r="BR152">
        <v>135.362335</v>
      </c>
      <c r="BS152">
        <v>62.307544999999998</v>
      </c>
      <c r="BT152">
        <v>2.5099999999999998E-4</v>
      </c>
      <c r="BU152">
        <v>43.539307000000001</v>
      </c>
      <c r="BV152">
        <v>0.84052800000000005</v>
      </c>
      <c r="BW152">
        <v>0.41178900000000002</v>
      </c>
      <c r="BX152">
        <v>5.892245</v>
      </c>
      <c r="BY152">
        <v>10.362558999999999</v>
      </c>
      <c r="BZ152">
        <v>0.69467599999999996</v>
      </c>
      <c r="CA152">
        <v>2020</v>
      </c>
      <c r="CB152">
        <v>2</v>
      </c>
      <c r="CC152">
        <v>25</v>
      </c>
      <c r="CD152">
        <v>23</v>
      </c>
      <c r="CE152">
        <v>52</v>
      </c>
      <c r="CF152">
        <v>33.820003999999997</v>
      </c>
      <c r="CG152">
        <v>2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1.8488999999999998E-2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</row>
    <row r="153" spans="1:105" x14ac:dyDescent="0.25">
      <c r="A153">
        <v>152</v>
      </c>
      <c r="B153" t="s">
        <v>290</v>
      </c>
      <c r="C153">
        <v>58905.096683999996</v>
      </c>
      <c r="D153">
        <v>336.67163099999999</v>
      </c>
      <c r="E153" s="3" t="s">
        <v>106</v>
      </c>
      <c r="F153" s="3" t="s">
        <v>191</v>
      </c>
      <c r="G153">
        <v>-0.36966100000000002</v>
      </c>
      <c r="H153">
        <v>216.36230499999999</v>
      </c>
      <c r="I153">
        <v>37.984768000000003</v>
      </c>
      <c r="J153">
        <v>216.283432</v>
      </c>
      <c r="K153">
        <v>37.830406000000004</v>
      </c>
      <c r="L153">
        <v>196.19421399999999</v>
      </c>
      <c r="M153">
        <v>48.471896999999998</v>
      </c>
      <c r="N153">
        <v>45.219639000000001</v>
      </c>
      <c r="O153">
        <v>45.219639000000001</v>
      </c>
      <c r="P153">
        <v>43.707965999999999</v>
      </c>
      <c r="Q153">
        <v>41.091427000000003</v>
      </c>
      <c r="R153">
        <v>8.5466329999999999</v>
      </c>
      <c r="S153">
        <v>0.69458799999999998</v>
      </c>
      <c r="T153">
        <v>0.91873000000000005</v>
      </c>
      <c r="U153">
        <v>24.995815</v>
      </c>
      <c r="V153">
        <v>247.85728499999999</v>
      </c>
      <c r="W153">
        <v>336.67175300000002</v>
      </c>
      <c r="X153">
        <v>70.395904999999999</v>
      </c>
      <c r="Y153" t="s">
        <v>114</v>
      </c>
      <c r="Z153">
        <v>-1</v>
      </c>
      <c r="AA153">
        <v>-1</v>
      </c>
      <c r="AB153">
        <v>-0.3</v>
      </c>
      <c r="AC153">
        <v>2.4966149999999998</v>
      </c>
      <c r="AD153">
        <v>0.12</v>
      </c>
      <c r="AE153">
        <v>20.105</v>
      </c>
      <c r="AF153">
        <v>0</v>
      </c>
      <c r="AG153">
        <v>142.614441</v>
      </c>
      <c r="AH153">
        <v>-19.718025000000001</v>
      </c>
      <c r="AI153">
        <v>329.43951399999997</v>
      </c>
      <c r="AJ153">
        <v>-34.927661999999998</v>
      </c>
      <c r="AK153">
        <v>126.442238</v>
      </c>
      <c r="AL153">
        <v>69.535751000000005</v>
      </c>
      <c r="AM153">
        <v>326.18188500000002</v>
      </c>
      <c r="AN153">
        <v>56.101387000000003</v>
      </c>
      <c r="AO153">
        <v>-1.4811000000000001</v>
      </c>
      <c r="AP153">
        <v>51.373390000000001</v>
      </c>
      <c r="AQ153">
        <v>87.208556999999999</v>
      </c>
      <c r="AR153">
        <v>104.777214</v>
      </c>
      <c r="AS153">
        <v>54.760497999999998</v>
      </c>
      <c r="AT153">
        <v>28.506647000000001</v>
      </c>
      <c r="AU153">
        <v>119.781944</v>
      </c>
      <c r="AV153">
        <v>68.750031000000007</v>
      </c>
      <c r="AW153">
        <v>-1.50922</v>
      </c>
      <c r="AX153">
        <v>51.381011999999998</v>
      </c>
      <c r="AY153">
        <v>82.234306000000004</v>
      </c>
      <c r="AZ153">
        <v>101.74279799999999</v>
      </c>
      <c r="BA153">
        <v>57.257114000000001</v>
      </c>
      <c r="BB153">
        <v>29.438874999999999</v>
      </c>
      <c r="BC153">
        <v>5.4263560000000002</v>
      </c>
      <c r="BD153">
        <v>113.70742</v>
      </c>
      <c r="BE153">
        <v>66.273689000000005</v>
      </c>
      <c r="BF153">
        <v>66.712692000000004</v>
      </c>
      <c r="BG153">
        <v>66.652596000000003</v>
      </c>
      <c r="BH153">
        <v>7</v>
      </c>
      <c r="BI153">
        <v>7</v>
      </c>
      <c r="BJ153">
        <v>0</v>
      </c>
      <c r="BK153">
        <v>58</v>
      </c>
      <c r="BL153">
        <v>2.7279999999999999E-2</v>
      </c>
      <c r="BM153">
        <v>1.529E-2</v>
      </c>
      <c r="BN153">
        <v>-1</v>
      </c>
      <c r="BO153">
        <v>3</v>
      </c>
      <c r="BP153">
        <v>1</v>
      </c>
      <c r="BQ153">
        <v>3.3900039999999998</v>
      </c>
      <c r="BR153">
        <v>53.911568000000003</v>
      </c>
      <c r="BS153">
        <v>35.756607000000002</v>
      </c>
      <c r="BT153">
        <v>1.2011000000000001E-2</v>
      </c>
      <c r="BU153">
        <v>40.026836000000003</v>
      </c>
      <c r="BV153">
        <v>3.4439419999999998</v>
      </c>
      <c r="BW153">
        <v>0.166434</v>
      </c>
      <c r="BX153">
        <v>1.29748</v>
      </c>
      <c r="BY153">
        <v>2.6398649999999999</v>
      </c>
      <c r="BZ153">
        <v>0.91696699999999998</v>
      </c>
      <c r="CA153">
        <v>2020</v>
      </c>
      <c r="CB153">
        <v>2</v>
      </c>
      <c r="CC153">
        <v>26</v>
      </c>
      <c r="CD153">
        <v>2</v>
      </c>
      <c r="CE153">
        <v>19</v>
      </c>
      <c r="CF153">
        <v>13.460001</v>
      </c>
      <c r="CG153">
        <v>2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0.117005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</row>
    <row r="154" spans="1:105" x14ac:dyDescent="0.25">
      <c r="A154">
        <v>153</v>
      </c>
      <c r="B154" t="s">
        <v>291</v>
      </c>
      <c r="C154">
        <v>58905.117167999997</v>
      </c>
      <c r="D154">
        <v>336.69223</v>
      </c>
      <c r="E154" s="3" t="s">
        <v>154</v>
      </c>
      <c r="F154" s="3" t="s">
        <v>191</v>
      </c>
      <c r="G154">
        <v>-1.073402</v>
      </c>
      <c r="H154">
        <v>209.181961</v>
      </c>
      <c r="I154">
        <v>-27.436233999999999</v>
      </c>
      <c r="J154">
        <v>209.01585399999999</v>
      </c>
      <c r="K154">
        <v>-27.947192999999999</v>
      </c>
      <c r="L154">
        <v>216.87745699999999</v>
      </c>
      <c r="M154">
        <v>-15.044554</v>
      </c>
      <c r="N154">
        <v>76.637741000000005</v>
      </c>
      <c r="O154">
        <v>76.637741000000005</v>
      </c>
      <c r="P154">
        <v>75.761215000000007</v>
      </c>
      <c r="Q154">
        <v>52.875591</v>
      </c>
      <c r="R154">
        <v>-0.88400500000000004</v>
      </c>
      <c r="S154">
        <v>0.61517299999999997</v>
      </c>
      <c r="T154">
        <v>1.695894</v>
      </c>
      <c r="U154">
        <v>0</v>
      </c>
      <c r="V154">
        <v>66.534317000000001</v>
      </c>
      <c r="W154">
        <v>156.69285600000001</v>
      </c>
      <c r="X154">
        <v>149.499786</v>
      </c>
      <c r="Y154" t="s">
        <v>114</v>
      </c>
      <c r="Z154">
        <v>-1</v>
      </c>
      <c r="AA154">
        <v>-1</v>
      </c>
      <c r="AB154">
        <v>0.4</v>
      </c>
      <c r="AC154">
        <v>10.988856999999999</v>
      </c>
      <c r="AD154">
        <v>1.2</v>
      </c>
      <c r="AE154">
        <v>9.016</v>
      </c>
      <c r="AF154">
        <v>0</v>
      </c>
      <c r="AG154">
        <v>301.81469700000002</v>
      </c>
      <c r="AH154">
        <v>-5.0562519999999997</v>
      </c>
      <c r="AI154">
        <v>277.90493800000002</v>
      </c>
      <c r="AJ154">
        <v>-6.9687190000000001</v>
      </c>
      <c r="AK154">
        <v>211.03152499999999</v>
      </c>
      <c r="AL154">
        <v>-8.7816559999999999</v>
      </c>
      <c r="AM154">
        <v>163.36340300000001</v>
      </c>
      <c r="AN154">
        <v>28.841042000000002</v>
      </c>
      <c r="AO154">
        <v>-0.226303</v>
      </c>
      <c r="AP154">
        <v>49.167152000000002</v>
      </c>
      <c r="AQ154">
        <v>119.442123</v>
      </c>
      <c r="AR154">
        <v>239.22232099999999</v>
      </c>
      <c r="AS154">
        <v>18.736259</v>
      </c>
      <c r="AT154">
        <v>9.1948720000000002</v>
      </c>
      <c r="AU154">
        <v>212.00625600000001</v>
      </c>
      <c r="AV154">
        <v>2.1641629999999998</v>
      </c>
      <c r="AW154">
        <v>-0.455148</v>
      </c>
      <c r="AX154">
        <v>49.946784999999998</v>
      </c>
      <c r="AY154">
        <v>99.877776999999995</v>
      </c>
      <c r="AZ154">
        <v>154.97207599999999</v>
      </c>
      <c r="BA154">
        <v>29.725117000000001</v>
      </c>
      <c r="BB154">
        <v>14.280184999999999</v>
      </c>
      <c r="BC154">
        <v>91.965294</v>
      </c>
      <c r="BD154">
        <v>169.03994800000001</v>
      </c>
      <c r="BE154">
        <v>12.543991</v>
      </c>
      <c r="BF154">
        <v>10.706953</v>
      </c>
      <c r="BG154">
        <v>10.221793999999999</v>
      </c>
      <c r="BH154">
        <v>61</v>
      </c>
      <c r="BI154">
        <v>58</v>
      </c>
      <c r="BJ154">
        <v>4.9180330000000003</v>
      </c>
      <c r="BK154">
        <v>72</v>
      </c>
      <c r="BL154">
        <v>2.1649999999999999E-2</v>
      </c>
      <c r="BM154">
        <v>7.1000000000000004E-3</v>
      </c>
      <c r="BN154">
        <v>-1</v>
      </c>
      <c r="BO154">
        <v>3</v>
      </c>
      <c r="BP154">
        <v>1</v>
      </c>
      <c r="BQ154">
        <v>4.4999960000000003</v>
      </c>
      <c r="BR154">
        <v>53.911568000000003</v>
      </c>
      <c r="BS154">
        <v>29.832550000000001</v>
      </c>
      <c r="BT154">
        <v>1.8599000000000001E-2</v>
      </c>
      <c r="BU154">
        <v>14.066485</v>
      </c>
      <c r="BV154">
        <v>9.0620639999999995</v>
      </c>
      <c r="BW154">
        <v>0.53170700000000004</v>
      </c>
      <c r="BX154">
        <v>0.122667</v>
      </c>
      <c r="BY154">
        <v>0.49730400000000002</v>
      </c>
      <c r="BZ154">
        <v>4.2944000000000003E-2</v>
      </c>
      <c r="CA154">
        <v>2020</v>
      </c>
      <c r="CB154">
        <v>2</v>
      </c>
      <c r="CC154">
        <v>26</v>
      </c>
      <c r="CD154">
        <v>2</v>
      </c>
      <c r="CE154">
        <v>48</v>
      </c>
      <c r="CF154">
        <v>43.349997999999999</v>
      </c>
      <c r="CG154">
        <v>2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-1.1312150000000001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</row>
    <row r="155" spans="1:105" x14ac:dyDescent="0.25">
      <c r="A155">
        <v>154</v>
      </c>
      <c r="B155" t="s">
        <v>292</v>
      </c>
      <c r="C155">
        <v>58905.131144999999</v>
      </c>
      <c r="D155">
        <v>336.706299</v>
      </c>
      <c r="E155" s="3" t="s">
        <v>106</v>
      </c>
      <c r="F155" s="3" t="s">
        <v>191</v>
      </c>
      <c r="G155">
        <v>0.40464800000000001</v>
      </c>
      <c r="H155">
        <v>173.56626900000001</v>
      </c>
      <c r="I155">
        <v>7.1368039999999997</v>
      </c>
      <c r="J155">
        <v>172.37257399999999</v>
      </c>
      <c r="K155">
        <v>5.4189629999999998</v>
      </c>
      <c r="L155">
        <v>170.857529</v>
      </c>
      <c r="M155">
        <v>1.9536439999999999</v>
      </c>
      <c r="N155">
        <v>31.157043000000002</v>
      </c>
      <c r="O155">
        <v>31.157043000000002</v>
      </c>
      <c r="P155">
        <v>29.230011000000001</v>
      </c>
      <c r="Q155">
        <v>36.163910000000001</v>
      </c>
      <c r="R155">
        <v>1.831164</v>
      </c>
      <c r="S155">
        <v>0.31938299999999997</v>
      </c>
      <c r="T155">
        <v>0.82558500000000001</v>
      </c>
      <c r="U155">
        <v>2.4789370000000002</v>
      </c>
      <c r="V155">
        <v>299.85754400000002</v>
      </c>
      <c r="W155">
        <v>336.71472199999999</v>
      </c>
      <c r="X155">
        <v>2.485293</v>
      </c>
      <c r="Y155" t="s">
        <v>114</v>
      </c>
      <c r="Z155">
        <v>-1</v>
      </c>
      <c r="AA155">
        <v>-1</v>
      </c>
      <c r="AB155">
        <v>0.3</v>
      </c>
      <c r="AC155">
        <v>1.100066</v>
      </c>
      <c r="AD155">
        <v>0.06</v>
      </c>
      <c r="AE155">
        <v>19.466000000000001</v>
      </c>
      <c r="AF155">
        <v>0</v>
      </c>
      <c r="AG155">
        <v>82.509094000000005</v>
      </c>
      <c r="AH155">
        <v>8.3825029999999998</v>
      </c>
      <c r="AI155">
        <v>237.83315999999999</v>
      </c>
      <c r="AJ155">
        <v>22.524484999999999</v>
      </c>
      <c r="AK155">
        <v>227.72494499999999</v>
      </c>
      <c r="AL155">
        <v>79.840667999999994</v>
      </c>
      <c r="AM155">
        <v>8.8879669999999997</v>
      </c>
      <c r="AN155">
        <v>59.866089000000002</v>
      </c>
      <c r="AO155">
        <v>-0.91472799999999999</v>
      </c>
      <c r="AP155">
        <v>51.362380999999999</v>
      </c>
      <c r="AQ155">
        <v>82.844611999999998</v>
      </c>
      <c r="AR155">
        <v>95.486953999999997</v>
      </c>
      <c r="AS155">
        <v>77.010513000000003</v>
      </c>
      <c r="AT155">
        <v>20.210417</v>
      </c>
      <c r="AU155">
        <v>233.20155299999999</v>
      </c>
      <c r="AV155">
        <v>80.415015999999994</v>
      </c>
      <c r="AW155">
        <v>-0.90216700000000005</v>
      </c>
      <c r="AX155">
        <v>51.372475000000001</v>
      </c>
      <c r="AY155">
        <v>81.658218000000005</v>
      </c>
      <c r="AZ155">
        <v>95.103210000000004</v>
      </c>
      <c r="BA155">
        <v>78.110564999999994</v>
      </c>
      <c r="BB155">
        <v>20.295549000000001</v>
      </c>
      <c r="BC155">
        <v>1.8694230000000001</v>
      </c>
      <c r="BD155">
        <v>217.362076</v>
      </c>
      <c r="BE155">
        <v>40.024368000000003</v>
      </c>
      <c r="BF155">
        <v>40.400832999999999</v>
      </c>
      <c r="BG155">
        <v>38.357357</v>
      </c>
      <c r="BH155">
        <v>4</v>
      </c>
      <c r="BI155">
        <v>4</v>
      </c>
      <c r="BJ155">
        <v>0</v>
      </c>
      <c r="BK155">
        <v>86</v>
      </c>
      <c r="BL155">
        <v>2.9919999999999999E-2</v>
      </c>
      <c r="BM155">
        <v>7.8700000000000003E-3</v>
      </c>
      <c r="BN155">
        <v>-1</v>
      </c>
      <c r="BO155">
        <v>2</v>
      </c>
      <c r="BP155">
        <v>1</v>
      </c>
      <c r="BQ155">
        <v>3.429996</v>
      </c>
      <c r="BR155">
        <v>53.911568000000003</v>
      </c>
      <c r="BS155">
        <v>20.754989999999999</v>
      </c>
      <c r="BT155">
        <v>8.0971000000000001E-2</v>
      </c>
      <c r="BU155">
        <v>31.730335</v>
      </c>
      <c r="BV155">
        <v>3.2612589999999999</v>
      </c>
      <c r="BW155">
        <v>2.0877590000000001</v>
      </c>
      <c r="BX155">
        <v>6.7835020000000004</v>
      </c>
      <c r="BY155">
        <v>19.556730000000002</v>
      </c>
      <c r="BZ155">
        <v>0.50690999999999997</v>
      </c>
      <c r="CA155">
        <v>2020</v>
      </c>
      <c r="CB155">
        <v>2</v>
      </c>
      <c r="CC155">
        <v>26</v>
      </c>
      <c r="CD155">
        <v>3</v>
      </c>
      <c r="CE155">
        <v>8</v>
      </c>
      <c r="CF155">
        <v>50.970001000000003</v>
      </c>
      <c r="CG155">
        <v>2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0.54610099999999995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</row>
    <row r="156" spans="1:105" x14ac:dyDescent="0.25">
      <c r="A156">
        <v>155</v>
      </c>
      <c r="B156" t="s">
        <v>293</v>
      </c>
      <c r="C156">
        <v>58905.158243999998</v>
      </c>
      <c r="D156">
        <v>336.73355099999998</v>
      </c>
      <c r="E156" s="3" t="s">
        <v>106</v>
      </c>
      <c r="F156" s="3" t="s">
        <v>191</v>
      </c>
      <c r="G156">
        <v>1.3836729999999999</v>
      </c>
      <c r="H156">
        <v>241.366837</v>
      </c>
      <c r="I156">
        <v>41.204090000000001</v>
      </c>
      <c r="J156">
        <v>241.32629399999999</v>
      </c>
      <c r="K156">
        <v>41.113185999999999</v>
      </c>
      <c r="L156">
        <v>223.658142</v>
      </c>
      <c r="M156">
        <v>60.021312999999999</v>
      </c>
      <c r="N156">
        <v>45.510447999999997</v>
      </c>
      <c r="O156">
        <v>45.510447999999997</v>
      </c>
      <c r="P156">
        <v>44.003300000000003</v>
      </c>
      <c r="Q156">
        <v>40.221218</v>
      </c>
      <c r="R156">
        <v>5.0828959999999999</v>
      </c>
      <c r="S156">
        <v>0.943855</v>
      </c>
      <c r="T156">
        <v>0.81430800000000003</v>
      </c>
      <c r="U156">
        <v>11.464141</v>
      </c>
      <c r="V156">
        <v>206.32818599999999</v>
      </c>
      <c r="W156">
        <v>336.73364299999997</v>
      </c>
      <c r="X156">
        <v>75.487633000000002</v>
      </c>
      <c r="Y156" t="s">
        <v>114</v>
      </c>
      <c r="Z156">
        <v>-1</v>
      </c>
      <c r="AA156">
        <v>-1</v>
      </c>
      <c r="AB156">
        <v>1.5</v>
      </c>
      <c r="AC156">
        <v>2.6984620000000001</v>
      </c>
      <c r="AD156">
        <v>0.16</v>
      </c>
      <c r="AE156">
        <v>16.562000000000001</v>
      </c>
      <c r="AF156">
        <v>0</v>
      </c>
      <c r="AG156">
        <v>357.32208300000002</v>
      </c>
      <c r="AH156">
        <v>26.559237</v>
      </c>
      <c r="AI156">
        <v>341.58587599999998</v>
      </c>
      <c r="AJ156">
        <v>-37.552630999999998</v>
      </c>
      <c r="AK156">
        <v>179.31939700000001</v>
      </c>
      <c r="AL156">
        <v>63.426833999999999</v>
      </c>
      <c r="AM156">
        <v>318.39355499999999</v>
      </c>
      <c r="AN156">
        <v>69.094932999999997</v>
      </c>
      <c r="AO156">
        <v>-1.3818250000000001</v>
      </c>
      <c r="AP156">
        <v>51.198860000000003</v>
      </c>
      <c r="AQ156">
        <v>101.213829</v>
      </c>
      <c r="AR156">
        <v>108.165543</v>
      </c>
      <c r="AS156">
        <v>41.675944999999999</v>
      </c>
      <c r="AT156">
        <v>27.209074000000001</v>
      </c>
      <c r="AU156">
        <v>173.29020700000001</v>
      </c>
      <c r="AV156">
        <v>63.383938000000001</v>
      </c>
      <c r="AW156">
        <v>-1.420804</v>
      </c>
      <c r="AX156">
        <v>51.204684999999998</v>
      </c>
      <c r="AY156">
        <v>94.512389999999996</v>
      </c>
      <c r="AZ156">
        <v>102.84077499999999</v>
      </c>
      <c r="BA156">
        <v>44.374409</v>
      </c>
      <c r="BB156">
        <v>28.745058</v>
      </c>
      <c r="BC156">
        <v>7.2816720000000004</v>
      </c>
      <c r="BD156">
        <v>103.74050099999999</v>
      </c>
      <c r="BE156">
        <v>66.847381999999996</v>
      </c>
      <c r="BF156">
        <v>67.129874999999998</v>
      </c>
      <c r="BG156">
        <v>67.101485999999994</v>
      </c>
      <c r="BH156">
        <v>9</v>
      </c>
      <c r="BI156">
        <v>8</v>
      </c>
      <c r="BJ156">
        <v>11.111110999999999</v>
      </c>
      <c r="BK156">
        <v>87</v>
      </c>
      <c r="BL156">
        <v>3.1359999999999999E-2</v>
      </c>
      <c r="BM156">
        <v>8.1899999999999994E-3</v>
      </c>
      <c r="BN156">
        <v>-1</v>
      </c>
      <c r="BO156">
        <v>3</v>
      </c>
      <c r="BP156">
        <v>1</v>
      </c>
      <c r="BQ156">
        <v>3.3699979999999998</v>
      </c>
      <c r="BR156">
        <v>53.911568000000003</v>
      </c>
      <c r="BS156">
        <v>43.445404000000003</v>
      </c>
      <c r="BT156">
        <v>1.1154000000000001E-2</v>
      </c>
      <c r="BU156">
        <v>60.308773000000002</v>
      </c>
      <c r="BV156">
        <v>2.8582689999999999</v>
      </c>
      <c r="BW156">
        <v>9.5892000000000005E-2</v>
      </c>
      <c r="BX156">
        <v>0.81520599999999999</v>
      </c>
      <c r="BY156">
        <v>1.695122</v>
      </c>
      <c r="BZ156">
        <v>0.92418699999999998</v>
      </c>
      <c r="CA156">
        <v>2020</v>
      </c>
      <c r="CB156">
        <v>2</v>
      </c>
      <c r="CC156">
        <v>26</v>
      </c>
      <c r="CD156">
        <v>3</v>
      </c>
      <c r="CE156">
        <v>47</v>
      </c>
      <c r="CF156">
        <v>52.240001999999997</v>
      </c>
      <c r="CG156">
        <v>2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0.196738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</row>
    <row r="157" spans="1:105" x14ac:dyDescent="0.25">
      <c r="A157">
        <v>156</v>
      </c>
      <c r="B157" t="s">
        <v>294</v>
      </c>
      <c r="C157">
        <v>58905.171675999998</v>
      </c>
      <c r="D157">
        <v>336.74707000000001</v>
      </c>
      <c r="E157" s="3" t="s">
        <v>106</v>
      </c>
      <c r="F157" s="3" t="s">
        <v>191</v>
      </c>
      <c r="G157">
        <v>0.34476800000000002</v>
      </c>
      <c r="H157">
        <v>219.52590900000001</v>
      </c>
      <c r="I157">
        <v>18.190715999999998</v>
      </c>
      <c r="J157">
        <v>219.23187300000001</v>
      </c>
      <c r="K157">
        <v>17.835961999999999</v>
      </c>
      <c r="L157">
        <v>210.28196700000001</v>
      </c>
      <c r="M157">
        <v>31.364802999999998</v>
      </c>
      <c r="N157">
        <v>54.989525</v>
      </c>
      <c r="O157">
        <v>54.989525</v>
      </c>
      <c r="P157">
        <v>53.825786999999998</v>
      </c>
      <c r="Q157">
        <v>39.453719999999997</v>
      </c>
      <c r="R157">
        <v>3.7641719999999999</v>
      </c>
      <c r="S157">
        <v>0.491672</v>
      </c>
      <c r="T157">
        <v>0.86938099999999996</v>
      </c>
      <c r="U157">
        <v>7.3059880000000001</v>
      </c>
      <c r="V157">
        <v>274.72042800000003</v>
      </c>
      <c r="W157">
        <v>336.74697900000001</v>
      </c>
      <c r="X157">
        <v>103.77396400000001</v>
      </c>
      <c r="Y157" t="s">
        <v>114</v>
      </c>
      <c r="Z157">
        <v>-1</v>
      </c>
      <c r="AA157">
        <v>-1</v>
      </c>
      <c r="AB157">
        <v>0.5</v>
      </c>
      <c r="AC157">
        <v>2.5949650000000002</v>
      </c>
      <c r="AD157">
        <v>0.1</v>
      </c>
      <c r="AE157">
        <v>24.320999</v>
      </c>
      <c r="AF157">
        <v>0</v>
      </c>
      <c r="AG157">
        <v>139.372299</v>
      </c>
      <c r="AH157">
        <v>-27.492725</v>
      </c>
      <c r="AI157">
        <v>273.63516199999998</v>
      </c>
      <c r="AJ157">
        <v>-4.2235310000000004</v>
      </c>
      <c r="AK157">
        <v>157.29579200000001</v>
      </c>
      <c r="AL157">
        <v>61.323543999999998</v>
      </c>
      <c r="AM157">
        <v>311.030396</v>
      </c>
      <c r="AN157">
        <v>56.976902000000003</v>
      </c>
      <c r="AO157">
        <v>-1.6513150000000001</v>
      </c>
      <c r="AP157">
        <v>51.287193000000002</v>
      </c>
      <c r="AQ157">
        <v>91.411438000000004</v>
      </c>
      <c r="AR157">
        <v>108.693031</v>
      </c>
      <c r="AS157">
        <v>60.902672000000003</v>
      </c>
      <c r="AT157">
        <v>28.614222999999999</v>
      </c>
      <c r="AU157">
        <v>151.98469499999999</v>
      </c>
      <c r="AV157">
        <v>61.930168000000002</v>
      </c>
      <c r="AW157">
        <v>-1.656326</v>
      </c>
      <c r="AX157">
        <v>51.313602000000003</v>
      </c>
      <c r="AY157">
        <v>86.812729000000004</v>
      </c>
      <c r="AZ157">
        <v>106.127747</v>
      </c>
      <c r="BA157">
        <v>63.497638999999999</v>
      </c>
      <c r="BB157">
        <v>29.372520000000002</v>
      </c>
      <c r="BC157">
        <v>5.4989520000000001</v>
      </c>
      <c r="BD157">
        <v>172.86099200000001</v>
      </c>
      <c r="BE157">
        <v>56.656573999999999</v>
      </c>
      <c r="BF157">
        <v>57.048374000000003</v>
      </c>
      <c r="BG157">
        <v>56.712833000000003</v>
      </c>
      <c r="BH157">
        <v>6</v>
      </c>
      <c r="BI157">
        <v>6</v>
      </c>
      <c r="BJ157">
        <v>0</v>
      </c>
      <c r="BK157">
        <v>79</v>
      </c>
      <c r="BL157">
        <v>2.6610000000000002E-2</v>
      </c>
      <c r="BM157">
        <v>0.01</v>
      </c>
      <c r="BN157">
        <v>-1</v>
      </c>
      <c r="BO157">
        <v>3</v>
      </c>
      <c r="BP157">
        <v>1</v>
      </c>
      <c r="BQ157">
        <v>3.4799950000000002</v>
      </c>
      <c r="BR157">
        <v>53.911568000000003</v>
      </c>
      <c r="BS157">
        <v>33.235416000000001</v>
      </c>
      <c r="BT157">
        <v>1.4517E-2</v>
      </c>
      <c r="BU157">
        <v>94.689278000000002</v>
      </c>
      <c r="BV157">
        <v>8.6884680000000003</v>
      </c>
      <c r="BW157">
        <v>0.45170700000000003</v>
      </c>
      <c r="BX157">
        <v>1.370295</v>
      </c>
      <c r="BY157">
        <v>2.793749</v>
      </c>
      <c r="BZ157">
        <v>0.91237000000000001</v>
      </c>
      <c r="CA157">
        <v>2020</v>
      </c>
      <c r="CB157">
        <v>2</v>
      </c>
      <c r="CC157">
        <v>26</v>
      </c>
      <c r="CD157">
        <v>4</v>
      </c>
      <c r="CE157">
        <v>7</v>
      </c>
      <c r="CF157">
        <v>12.81</v>
      </c>
      <c r="CG157">
        <v>2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0.26566299999999998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</row>
    <row r="158" spans="1:105" x14ac:dyDescent="0.25">
      <c r="A158">
        <v>157</v>
      </c>
      <c r="B158" t="s">
        <v>295</v>
      </c>
      <c r="C158">
        <v>58905.198706000003</v>
      </c>
      <c r="D158">
        <v>336.77426100000002</v>
      </c>
      <c r="E158" s="3" t="s">
        <v>242</v>
      </c>
      <c r="F158" s="3" t="s">
        <v>111</v>
      </c>
      <c r="G158">
        <v>-2.9900410000000002</v>
      </c>
      <c r="H158">
        <v>245.41892999999999</v>
      </c>
      <c r="I158">
        <v>4.036397</v>
      </c>
      <c r="J158">
        <v>245.28483600000001</v>
      </c>
      <c r="K158">
        <v>3.693908</v>
      </c>
      <c r="L158">
        <v>242.633804</v>
      </c>
      <c r="M158">
        <v>24.81325</v>
      </c>
      <c r="N158">
        <v>68.626328000000001</v>
      </c>
      <c r="O158">
        <v>68.626328000000001</v>
      </c>
      <c r="P158">
        <v>67.600577999999999</v>
      </c>
      <c r="Q158">
        <v>42.29213</v>
      </c>
      <c r="R158">
        <v>243.88679500000001</v>
      </c>
      <c r="S158">
        <v>0.98093600000000003</v>
      </c>
      <c r="T158">
        <v>0.99597800000000003</v>
      </c>
      <c r="U158">
        <v>3810.2822270000001</v>
      </c>
      <c r="V158">
        <v>190.96464499999999</v>
      </c>
      <c r="W158">
        <v>336.773865</v>
      </c>
      <c r="X158">
        <v>137.63398699999999</v>
      </c>
      <c r="Y158" t="s">
        <v>114</v>
      </c>
      <c r="Z158">
        <v>-1</v>
      </c>
      <c r="AA158">
        <v>-1</v>
      </c>
      <c r="AB158">
        <v>-1.3</v>
      </c>
      <c r="AC158">
        <v>3.181521</v>
      </c>
      <c r="AD158">
        <v>0.18</v>
      </c>
      <c r="AE158">
        <v>17.952998999999998</v>
      </c>
      <c r="AF158">
        <v>0</v>
      </c>
      <c r="AG158">
        <v>150.785492</v>
      </c>
      <c r="AH158">
        <v>48.861499999999999</v>
      </c>
      <c r="AI158">
        <v>289.49349999999998</v>
      </c>
      <c r="AJ158">
        <v>-15.417831</v>
      </c>
      <c r="AK158">
        <v>321.180725</v>
      </c>
      <c r="AL158">
        <v>40.738140000000001</v>
      </c>
      <c r="AM158">
        <v>56.787650999999997</v>
      </c>
      <c r="AN158">
        <v>26.284483000000002</v>
      </c>
      <c r="AO158">
        <v>-0.87943800000000005</v>
      </c>
      <c r="AP158">
        <v>51.614468000000002</v>
      </c>
      <c r="AQ158">
        <v>100.284378</v>
      </c>
      <c r="AR158">
        <v>219.040085</v>
      </c>
      <c r="AS158">
        <v>76.594939999999994</v>
      </c>
      <c r="AT158">
        <v>43.786617</v>
      </c>
      <c r="AU158">
        <v>325.37313799999998</v>
      </c>
      <c r="AV158">
        <v>41.011691999999996</v>
      </c>
      <c r="AW158">
        <v>-0.93734700000000004</v>
      </c>
      <c r="AX158">
        <v>51.690224000000001</v>
      </c>
      <c r="AY158">
        <v>92.385704000000004</v>
      </c>
      <c r="AZ158">
        <v>216.509995</v>
      </c>
      <c r="BA158">
        <v>79.776465999999999</v>
      </c>
      <c r="BB158">
        <v>44.431885000000001</v>
      </c>
      <c r="BC158">
        <v>12.352739</v>
      </c>
      <c r="BD158">
        <v>154.36209099999999</v>
      </c>
      <c r="BE158">
        <v>39.676434</v>
      </c>
      <c r="BF158">
        <v>39.827477000000002</v>
      </c>
      <c r="BG158">
        <v>39.541798</v>
      </c>
      <c r="BH158">
        <v>10</v>
      </c>
      <c r="BI158">
        <v>10</v>
      </c>
      <c r="BJ158">
        <v>0</v>
      </c>
      <c r="BK158">
        <v>7</v>
      </c>
      <c r="BL158">
        <v>2.147E-2</v>
      </c>
      <c r="BM158">
        <v>8.0300000000000007E-3</v>
      </c>
      <c r="BN158">
        <v>-1</v>
      </c>
      <c r="BO158">
        <v>3</v>
      </c>
      <c r="BP158">
        <v>1</v>
      </c>
      <c r="BQ158">
        <v>0.180003</v>
      </c>
      <c r="BR158">
        <v>156.91645800000001</v>
      </c>
      <c r="BS158">
        <v>45.345283999999999</v>
      </c>
      <c r="BT158">
        <v>7.0600000000000003E-4</v>
      </c>
      <c r="BU158">
        <v>86.848579000000001</v>
      </c>
      <c r="BV158">
        <v>7.2723469999999999</v>
      </c>
      <c r="BW158">
        <v>0.36769299999999999</v>
      </c>
      <c r="BX158">
        <v>0.84631699999999999</v>
      </c>
      <c r="BY158">
        <v>1.2089190000000001</v>
      </c>
      <c r="BZ158">
        <v>0.95971700000000004</v>
      </c>
      <c r="CA158">
        <v>2020</v>
      </c>
      <c r="CB158">
        <v>2</v>
      </c>
      <c r="CC158">
        <v>26</v>
      </c>
      <c r="CD158">
        <v>4</v>
      </c>
      <c r="CE158">
        <v>46</v>
      </c>
      <c r="CF158">
        <v>8.1900010000000005</v>
      </c>
      <c r="CG158">
        <v>2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4.1000000000000003E-3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</row>
    <row r="159" spans="1:105" x14ac:dyDescent="0.25">
      <c r="A159">
        <v>158</v>
      </c>
      <c r="B159" t="s">
        <v>295</v>
      </c>
      <c r="C159">
        <v>58905.198708999997</v>
      </c>
      <c r="D159">
        <v>336.77426100000002</v>
      </c>
      <c r="E159" s="3" t="s">
        <v>106</v>
      </c>
      <c r="F159" s="3" t="s">
        <v>191</v>
      </c>
      <c r="G159">
        <v>-0.78993500000000005</v>
      </c>
      <c r="H159">
        <v>246.20919799999999</v>
      </c>
      <c r="I159">
        <v>5.1623020000000004</v>
      </c>
      <c r="J159">
        <v>246.07582099999999</v>
      </c>
      <c r="K159">
        <v>4.8029250000000001</v>
      </c>
      <c r="L159">
        <v>243.27003500000001</v>
      </c>
      <c r="M159">
        <v>26.046935999999999</v>
      </c>
      <c r="N159">
        <v>66.059616000000005</v>
      </c>
      <c r="O159">
        <v>66.059616000000005</v>
      </c>
      <c r="P159">
        <v>65.005218999999997</v>
      </c>
      <c r="Q159">
        <v>40.249805000000002</v>
      </c>
      <c r="R159">
        <v>5.1512900000000004</v>
      </c>
      <c r="S159">
        <v>0.98307999999999995</v>
      </c>
      <c r="T159">
        <v>0.80915800000000004</v>
      </c>
      <c r="U159">
        <v>11.696306999999999</v>
      </c>
      <c r="V159">
        <v>190.10865799999999</v>
      </c>
      <c r="W159">
        <v>336.77389499999998</v>
      </c>
      <c r="X159">
        <v>134.65202300000001</v>
      </c>
      <c r="Y159" t="s">
        <v>114</v>
      </c>
      <c r="Z159">
        <v>-1</v>
      </c>
      <c r="AA159">
        <v>-1</v>
      </c>
      <c r="AB159">
        <v>-0.3</v>
      </c>
      <c r="AC159">
        <v>2.9621200000000001</v>
      </c>
      <c r="AD159">
        <v>0.1</v>
      </c>
      <c r="AE159">
        <v>28.922001000000002</v>
      </c>
      <c r="AF159">
        <v>0</v>
      </c>
      <c r="AG159">
        <v>155.878006</v>
      </c>
      <c r="AH159">
        <v>3.6608339999999999</v>
      </c>
      <c r="AI159">
        <v>290.67767300000003</v>
      </c>
      <c r="AJ159">
        <v>-16.234480000000001</v>
      </c>
      <c r="AK159">
        <v>271.39614899999998</v>
      </c>
      <c r="AL159">
        <v>81.552345000000003</v>
      </c>
      <c r="AM159">
        <v>10.812965</v>
      </c>
      <c r="AN159">
        <v>56.474879999999999</v>
      </c>
      <c r="AO159">
        <v>-0.83296400000000004</v>
      </c>
      <c r="AP159">
        <v>51.546570000000003</v>
      </c>
      <c r="AQ159">
        <v>105.461861</v>
      </c>
      <c r="AR159">
        <v>125.95835099999999</v>
      </c>
      <c r="AS159">
        <v>77.208702000000002</v>
      </c>
      <c r="AT159">
        <v>20.768667000000001</v>
      </c>
      <c r="AU159">
        <v>283.972534</v>
      </c>
      <c r="AV159">
        <v>84.079421999999994</v>
      </c>
      <c r="AW159">
        <v>-0.86491099999999999</v>
      </c>
      <c r="AX159">
        <v>51.586005999999998</v>
      </c>
      <c r="AY159">
        <v>101.153183</v>
      </c>
      <c r="AZ159">
        <v>124.66233099999999</v>
      </c>
      <c r="BA159">
        <v>80.170822000000001</v>
      </c>
      <c r="BB159">
        <v>20.994736</v>
      </c>
      <c r="BC159">
        <v>6.6059609999999997</v>
      </c>
      <c r="BD159">
        <v>153.000946</v>
      </c>
      <c r="BE159">
        <v>40.616695</v>
      </c>
      <c r="BF159">
        <v>41.103577000000001</v>
      </c>
      <c r="BG159">
        <v>40.797835999999997</v>
      </c>
      <c r="BH159">
        <v>6</v>
      </c>
      <c r="BI159">
        <v>6</v>
      </c>
      <c r="BJ159">
        <v>0</v>
      </c>
      <c r="BK159">
        <v>93</v>
      </c>
      <c r="BL159">
        <v>3.1530000000000002E-2</v>
      </c>
      <c r="BM159">
        <v>1.7180000000000001E-2</v>
      </c>
      <c r="BN159">
        <v>-1</v>
      </c>
      <c r="BO159">
        <v>3</v>
      </c>
      <c r="BP159">
        <v>1</v>
      </c>
      <c r="BQ159">
        <v>3.3499919999999999</v>
      </c>
      <c r="BR159">
        <v>53.911568000000003</v>
      </c>
      <c r="BS159">
        <v>21.322659999999999</v>
      </c>
      <c r="BT159">
        <v>1.3566999999999999E-2</v>
      </c>
      <c r="BU159">
        <v>22.652353000000002</v>
      </c>
      <c r="BV159">
        <v>8.2909999999999998E-3</v>
      </c>
      <c r="BW159">
        <v>0.38315399999999999</v>
      </c>
      <c r="BX159">
        <v>2.8689279999999999</v>
      </c>
      <c r="BY159">
        <v>8.0074550000000002</v>
      </c>
      <c r="BZ159">
        <v>0.75661100000000003</v>
      </c>
      <c r="CA159">
        <v>2020</v>
      </c>
      <c r="CB159">
        <v>2</v>
      </c>
      <c r="CC159">
        <v>26</v>
      </c>
      <c r="CD159">
        <v>4</v>
      </c>
      <c r="CE159">
        <v>46</v>
      </c>
      <c r="CF159">
        <v>8.4700030000000002</v>
      </c>
      <c r="CG159">
        <v>2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0.19412599999999999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</row>
    <row r="160" spans="1:105" x14ac:dyDescent="0.25">
      <c r="A160">
        <v>159</v>
      </c>
      <c r="B160" t="s">
        <v>296</v>
      </c>
      <c r="C160">
        <v>58905.201917999999</v>
      </c>
      <c r="D160">
        <v>336.77749599999999</v>
      </c>
      <c r="E160" s="3" t="s">
        <v>106</v>
      </c>
      <c r="F160" s="3" t="s">
        <v>191</v>
      </c>
      <c r="G160">
        <v>1.605802</v>
      </c>
      <c r="H160">
        <v>296.20391799999999</v>
      </c>
      <c r="I160">
        <v>48.2971</v>
      </c>
      <c r="J160">
        <v>298.86279300000001</v>
      </c>
      <c r="K160">
        <v>47.523097999999997</v>
      </c>
      <c r="L160">
        <v>322.59542800000003</v>
      </c>
      <c r="M160">
        <v>65.772773999999998</v>
      </c>
      <c r="N160">
        <v>25.913885000000001</v>
      </c>
      <c r="O160">
        <v>25.913885000000001</v>
      </c>
      <c r="P160">
        <v>23.177622</v>
      </c>
      <c r="Q160">
        <v>36.195357999999999</v>
      </c>
      <c r="R160">
        <v>1.8399179999999999</v>
      </c>
      <c r="S160">
        <v>0.88571299999999997</v>
      </c>
      <c r="T160">
        <v>0.51861299999999999</v>
      </c>
      <c r="U160">
        <v>2.496734</v>
      </c>
      <c r="V160">
        <v>133.76179500000001</v>
      </c>
      <c r="W160">
        <v>336.77795400000002</v>
      </c>
      <c r="X160">
        <v>37.281517000000001</v>
      </c>
      <c r="Y160" t="s">
        <v>114</v>
      </c>
      <c r="Z160">
        <v>-1</v>
      </c>
      <c r="AA160">
        <v>-1</v>
      </c>
      <c r="AB160">
        <v>1.5</v>
      </c>
      <c r="AC160">
        <v>4.8125640000000001</v>
      </c>
      <c r="AD160">
        <v>0.34</v>
      </c>
      <c r="AE160">
        <v>14.172000000000001</v>
      </c>
      <c r="AF160">
        <v>0</v>
      </c>
      <c r="AG160">
        <v>65.272568000000007</v>
      </c>
      <c r="AH160">
        <v>29.318145999999999</v>
      </c>
      <c r="AI160">
        <v>29.618286000000001</v>
      </c>
      <c r="AJ160">
        <v>-34.754883</v>
      </c>
      <c r="AK160">
        <v>193.693771</v>
      </c>
      <c r="AL160">
        <v>47.896030000000003</v>
      </c>
      <c r="AM160">
        <v>274.73199499999998</v>
      </c>
      <c r="AN160">
        <v>68.296561999999994</v>
      </c>
      <c r="AO160">
        <v>-1.523965</v>
      </c>
      <c r="AP160">
        <v>50.968955999999999</v>
      </c>
      <c r="AQ160">
        <v>90.398865000000001</v>
      </c>
      <c r="AR160">
        <v>97.094391000000002</v>
      </c>
      <c r="AS160">
        <v>62.786445999999998</v>
      </c>
      <c r="AT160">
        <v>6.3354540000000004</v>
      </c>
      <c r="AU160">
        <v>188.76594499999999</v>
      </c>
      <c r="AV160">
        <v>44.498302000000002</v>
      </c>
      <c r="AW160">
        <v>-1.6010800000000001</v>
      </c>
      <c r="AX160">
        <v>50.946125000000002</v>
      </c>
      <c r="AY160">
        <v>84.000411999999997</v>
      </c>
      <c r="AZ160">
        <v>93.394454999999994</v>
      </c>
      <c r="BA160">
        <v>67.599007</v>
      </c>
      <c r="BB160">
        <v>6.5875310000000002</v>
      </c>
      <c r="BC160">
        <v>8.8107209999999991</v>
      </c>
      <c r="BD160">
        <v>64.960723999999999</v>
      </c>
      <c r="BE160">
        <v>46.540042999999997</v>
      </c>
      <c r="BF160">
        <v>46.815398999999999</v>
      </c>
      <c r="BG160">
        <v>44.892085999999999</v>
      </c>
      <c r="BH160">
        <v>18</v>
      </c>
      <c r="BI160">
        <v>14</v>
      </c>
      <c r="BJ160">
        <v>22.222221000000001</v>
      </c>
      <c r="BK160">
        <v>90</v>
      </c>
      <c r="BL160">
        <v>2.7470000000000001E-2</v>
      </c>
      <c r="BM160">
        <v>1.3350000000000001E-2</v>
      </c>
      <c r="BN160">
        <v>-1</v>
      </c>
      <c r="BO160">
        <v>3</v>
      </c>
      <c r="BP160">
        <v>1</v>
      </c>
      <c r="BQ160">
        <v>3.2700079999999998</v>
      </c>
      <c r="BR160">
        <v>53.911568000000003</v>
      </c>
      <c r="BS160">
        <v>7.1278870000000003</v>
      </c>
      <c r="BT160">
        <v>1.1216E-2</v>
      </c>
      <c r="BU160">
        <v>43.196891999999998</v>
      </c>
      <c r="BV160">
        <v>5.8643229999999997</v>
      </c>
      <c r="BW160">
        <v>1.9429080000000001</v>
      </c>
      <c r="BX160">
        <v>3.465802</v>
      </c>
      <c r="BY160">
        <v>30.210709000000001</v>
      </c>
      <c r="BZ160">
        <v>0.53788899999999995</v>
      </c>
      <c r="CA160">
        <v>2020</v>
      </c>
      <c r="CB160">
        <v>2</v>
      </c>
      <c r="CC160">
        <v>26</v>
      </c>
      <c r="CD160">
        <v>4</v>
      </c>
      <c r="CE160">
        <v>50</v>
      </c>
      <c r="CF160">
        <v>45.679996000000003</v>
      </c>
      <c r="CG160">
        <v>2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0.54350299999999996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25">
      <c r="A161">
        <v>160</v>
      </c>
      <c r="B161" t="s">
        <v>297</v>
      </c>
      <c r="C161">
        <v>58905.251550000001</v>
      </c>
      <c r="D161">
        <v>336.82742300000001</v>
      </c>
      <c r="E161" s="3" t="s">
        <v>106</v>
      </c>
      <c r="F161" s="3" t="s">
        <v>191</v>
      </c>
      <c r="G161">
        <v>-0.14996100000000001</v>
      </c>
      <c r="H161">
        <v>272.08703600000001</v>
      </c>
      <c r="I161">
        <v>46.249476999999999</v>
      </c>
      <c r="J161">
        <v>272.10784899999999</v>
      </c>
      <c r="K161">
        <v>46.202488000000002</v>
      </c>
      <c r="L161">
        <v>274.18969700000002</v>
      </c>
      <c r="M161">
        <v>69.608497999999997</v>
      </c>
      <c r="N161">
        <v>35.543739000000002</v>
      </c>
      <c r="O161">
        <v>35.543739000000002</v>
      </c>
      <c r="P161">
        <v>33.644134999999999</v>
      </c>
      <c r="Q161">
        <v>37.621623999999997</v>
      </c>
      <c r="R161">
        <v>2.3540429999999999</v>
      </c>
      <c r="S161">
        <v>0.95841900000000002</v>
      </c>
      <c r="T161">
        <v>0.59286300000000003</v>
      </c>
      <c r="U161">
        <v>3.6132360000000001</v>
      </c>
      <c r="V161">
        <v>156.118134</v>
      </c>
      <c r="W161">
        <v>336.82763699999998</v>
      </c>
      <c r="X161">
        <v>58.030276999999998</v>
      </c>
      <c r="Y161" t="s">
        <v>298</v>
      </c>
      <c r="Z161">
        <v>5.9908640000000002</v>
      </c>
      <c r="AA161">
        <v>21.757826000000001</v>
      </c>
      <c r="AB161">
        <v>-0.2</v>
      </c>
      <c r="AC161">
        <v>5.6183149999999999</v>
      </c>
      <c r="AD161">
        <v>0.4</v>
      </c>
      <c r="AE161">
        <v>14.06</v>
      </c>
      <c r="AF161">
        <v>0</v>
      </c>
      <c r="AG161">
        <v>56.801712000000002</v>
      </c>
      <c r="AH161">
        <v>38.005405000000003</v>
      </c>
      <c r="AI161">
        <v>354.11807299999998</v>
      </c>
      <c r="AJ161">
        <v>-38.930298000000001</v>
      </c>
      <c r="AK161">
        <v>211.828506</v>
      </c>
      <c r="AL161">
        <v>49.237572</v>
      </c>
      <c r="AM161">
        <v>278.130157</v>
      </c>
      <c r="AN161">
        <v>68.853943000000001</v>
      </c>
      <c r="AO161">
        <v>-1.5372950000000001</v>
      </c>
      <c r="AP161">
        <v>50.989078999999997</v>
      </c>
      <c r="AQ161">
        <v>96.249245000000002</v>
      </c>
      <c r="AR161">
        <v>102.98156</v>
      </c>
      <c r="AS161">
        <v>39.545535999999998</v>
      </c>
      <c r="AT161">
        <v>24.695093</v>
      </c>
      <c r="AU161">
        <v>204.03384399999999</v>
      </c>
      <c r="AV161">
        <v>47.098072000000002</v>
      </c>
      <c r="AW161">
        <v>-1.6011249999999999</v>
      </c>
      <c r="AX161">
        <v>50.991432000000003</v>
      </c>
      <c r="AY161">
        <v>82.781150999999994</v>
      </c>
      <c r="AZ161">
        <v>92.462363999999994</v>
      </c>
      <c r="BA161">
        <v>45.163848999999999</v>
      </c>
      <c r="BB161">
        <v>27.730937999999998</v>
      </c>
      <c r="BC161">
        <v>14.217496000000001</v>
      </c>
      <c r="BD161">
        <v>93.786879999999996</v>
      </c>
      <c r="BE161">
        <v>71.246566999999999</v>
      </c>
      <c r="BF161">
        <v>71.575232999999997</v>
      </c>
      <c r="BG161">
        <v>71.542434999999998</v>
      </c>
      <c r="BH161">
        <v>21</v>
      </c>
      <c r="BI161">
        <v>20</v>
      </c>
      <c r="BJ161">
        <v>4.7619049999999996</v>
      </c>
      <c r="BK161">
        <v>22</v>
      </c>
      <c r="BL161">
        <v>1.9859999999999999E-2</v>
      </c>
      <c r="BM161">
        <v>9.4000000000000004E-3</v>
      </c>
      <c r="BN161">
        <v>-1</v>
      </c>
      <c r="BO161">
        <v>3</v>
      </c>
      <c r="BP161">
        <v>1</v>
      </c>
      <c r="BQ161">
        <v>2.200008</v>
      </c>
      <c r="BR161">
        <v>53.911568000000003</v>
      </c>
      <c r="BS161">
        <v>41.009791999999997</v>
      </c>
      <c r="BT161">
        <v>7.0980000000000001E-3</v>
      </c>
      <c r="BU161">
        <v>76.390945000000002</v>
      </c>
      <c r="BV161">
        <v>1.0870029999999999</v>
      </c>
      <c r="BW161">
        <v>4.9146000000000002E-2</v>
      </c>
      <c r="BX161">
        <v>0.26842500000000002</v>
      </c>
      <c r="BY161">
        <v>0.57686199999999999</v>
      </c>
      <c r="BZ161">
        <v>0.96928000000000003</v>
      </c>
      <c r="CA161">
        <v>2020</v>
      </c>
      <c r="CB161">
        <v>2</v>
      </c>
      <c r="CC161">
        <v>26</v>
      </c>
      <c r="CD161">
        <v>6</v>
      </c>
      <c r="CE161">
        <v>2</v>
      </c>
      <c r="CF161">
        <v>13.959994999999999</v>
      </c>
      <c r="CG161">
        <v>2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0.42480099999999998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</row>
    <row r="162" spans="1:105" x14ac:dyDescent="0.25">
      <c r="A162">
        <v>161</v>
      </c>
      <c r="B162" t="s">
        <v>299</v>
      </c>
      <c r="C162">
        <v>58905.254979999998</v>
      </c>
      <c r="D162">
        <v>336.830872</v>
      </c>
      <c r="E162" s="3" t="s">
        <v>113</v>
      </c>
      <c r="F162" s="3" t="s">
        <v>106</v>
      </c>
      <c r="G162">
        <v>7.5566999999999995E-2</v>
      </c>
      <c r="H162">
        <v>225.73114000000001</v>
      </c>
      <c r="I162">
        <v>49.562911999999997</v>
      </c>
      <c r="J162">
        <v>224.76951600000001</v>
      </c>
      <c r="K162">
        <v>49.386474999999997</v>
      </c>
      <c r="L162">
        <v>194.40368699999999</v>
      </c>
      <c r="M162">
        <v>61.501263000000002</v>
      </c>
      <c r="N162">
        <v>41.044764999999998</v>
      </c>
      <c r="O162">
        <v>41.044764999999998</v>
      </c>
      <c r="P162">
        <v>39.557335000000002</v>
      </c>
      <c r="Q162">
        <v>42.023296000000002</v>
      </c>
      <c r="R162">
        <v>33.755974000000002</v>
      </c>
      <c r="S162">
        <v>0.869529</v>
      </c>
      <c r="T162">
        <v>0.97424100000000002</v>
      </c>
      <c r="U162">
        <v>196.20077499999999</v>
      </c>
      <c r="V162">
        <v>221.10833700000001</v>
      </c>
      <c r="W162">
        <v>336.83105499999999</v>
      </c>
      <c r="X162">
        <v>61.871166000000002</v>
      </c>
      <c r="Y162" t="s">
        <v>114</v>
      </c>
      <c r="Z162">
        <v>-1</v>
      </c>
      <c r="AA162">
        <v>-1</v>
      </c>
      <c r="AB162">
        <v>0.7</v>
      </c>
      <c r="AC162">
        <v>1.5215289999999999</v>
      </c>
      <c r="AD162">
        <v>0.1</v>
      </c>
      <c r="AE162">
        <v>13.627000000000001</v>
      </c>
      <c r="AF162">
        <v>0</v>
      </c>
      <c r="AG162">
        <v>114.853477</v>
      </c>
      <c r="AH162">
        <v>16.893315999999999</v>
      </c>
      <c r="AI162">
        <v>179.22929400000001</v>
      </c>
      <c r="AJ162">
        <v>38.343741999999999</v>
      </c>
      <c r="AK162">
        <v>348.49044800000001</v>
      </c>
      <c r="AL162">
        <v>62.877499</v>
      </c>
      <c r="AM162">
        <v>34.138137999999998</v>
      </c>
      <c r="AN162">
        <v>38.346367000000001</v>
      </c>
      <c r="AO162">
        <v>-2.1023990000000001</v>
      </c>
      <c r="AP162">
        <v>51.648727000000001</v>
      </c>
      <c r="AQ162">
        <v>84.327461</v>
      </c>
      <c r="AR162">
        <v>134.35586499999999</v>
      </c>
      <c r="AS162">
        <v>58.840964999999997</v>
      </c>
      <c r="AT162">
        <v>56.548732999999999</v>
      </c>
      <c r="AU162">
        <v>350.53564499999999</v>
      </c>
      <c r="AV162">
        <v>61.689765999999999</v>
      </c>
      <c r="AW162">
        <v>-2.0897019999999999</v>
      </c>
      <c r="AX162">
        <v>51.648868999999998</v>
      </c>
      <c r="AY162">
        <v>80.320762999999999</v>
      </c>
      <c r="AZ162">
        <v>132.27877799999999</v>
      </c>
      <c r="BA162">
        <v>60.362492000000003</v>
      </c>
      <c r="BB162">
        <v>57.936069000000003</v>
      </c>
      <c r="BC162">
        <v>4.1044770000000002</v>
      </c>
      <c r="BD162">
        <v>267.62396200000001</v>
      </c>
      <c r="BE162">
        <v>77.549553000000003</v>
      </c>
      <c r="BF162">
        <v>78.092522000000002</v>
      </c>
      <c r="BG162">
        <v>77.443527000000003</v>
      </c>
      <c r="BH162">
        <v>6</v>
      </c>
      <c r="BI162">
        <v>6</v>
      </c>
      <c r="BJ162">
        <v>0</v>
      </c>
      <c r="BK162">
        <v>6</v>
      </c>
      <c r="BL162">
        <v>2.3390000000000001E-2</v>
      </c>
      <c r="BM162">
        <v>8.1899999999999994E-3</v>
      </c>
      <c r="BN162">
        <v>-1</v>
      </c>
      <c r="BO162">
        <v>3</v>
      </c>
      <c r="BP162">
        <v>1</v>
      </c>
      <c r="BQ162">
        <v>0.36999399999999999</v>
      </c>
      <c r="BR162">
        <v>135.36303699999999</v>
      </c>
      <c r="BS162">
        <v>77.165627000000001</v>
      </c>
      <c r="BT162">
        <v>1.041E-3</v>
      </c>
      <c r="BU162">
        <v>59.061408999999998</v>
      </c>
      <c r="BV162">
        <v>3.3261509999999999</v>
      </c>
      <c r="BW162">
        <v>0.64927500000000005</v>
      </c>
      <c r="BX162">
        <v>1.0877570000000001</v>
      </c>
      <c r="BY162">
        <v>1.283555</v>
      </c>
      <c r="BZ162">
        <v>0.95748699999999998</v>
      </c>
      <c r="CA162">
        <v>2020</v>
      </c>
      <c r="CB162">
        <v>2</v>
      </c>
      <c r="CC162">
        <v>26</v>
      </c>
      <c r="CD162">
        <v>6</v>
      </c>
      <c r="CE162">
        <v>7</v>
      </c>
      <c r="CF162">
        <v>10.230003999999999</v>
      </c>
      <c r="CG162">
        <v>2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2.9624000000000001E-2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</row>
    <row r="163" spans="1:105" x14ac:dyDescent="0.25">
      <c r="A163">
        <v>162</v>
      </c>
      <c r="B163" t="s">
        <v>300</v>
      </c>
      <c r="C163">
        <v>58906.825063999997</v>
      </c>
      <c r="D163">
        <v>338.40960699999999</v>
      </c>
      <c r="E163" s="3" t="s">
        <v>191</v>
      </c>
      <c r="F163" s="3" t="s">
        <v>111</v>
      </c>
      <c r="G163">
        <v>1.024472</v>
      </c>
      <c r="H163">
        <v>44.064715999999997</v>
      </c>
      <c r="I163">
        <v>15.608796999999999</v>
      </c>
      <c r="J163">
        <v>35.983341000000003</v>
      </c>
      <c r="K163">
        <v>5.4648099999999999</v>
      </c>
      <c r="L163">
        <v>35.497196000000002</v>
      </c>
      <c r="M163">
        <v>-8.3517270000000003</v>
      </c>
      <c r="N163">
        <v>14.474636</v>
      </c>
      <c r="O163">
        <v>14.474636</v>
      </c>
      <c r="P163">
        <v>9.5253110000000003</v>
      </c>
      <c r="Q163">
        <v>38.416457999999999</v>
      </c>
      <c r="R163">
        <v>2.8095289999999999</v>
      </c>
      <c r="S163">
        <v>0.96446100000000001</v>
      </c>
      <c r="T163">
        <v>0.65671800000000002</v>
      </c>
      <c r="U163">
        <v>4.7111289999999997</v>
      </c>
      <c r="V163">
        <v>339.08373999999998</v>
      </c>
      <c r="W163">
        <v>158.399734</v>
      </c>
      <c r="X163">
        <v>2.0850770000000001</v>
      </c>
      <c r="Y163" t="s">
        <v>114</v>
      </c>
      <c r="Z163">
        <v>-1</v>
      </c>
      <c r="AA163">
        <v>-1</v>
      </c>
      <c r="AB163">
        <v>1.21</v>
      </c>
      <c r="AC163">
        <v>13.799504000000001</v>
      </c>
      <c r="AD163">
        <v>1.8109999999999999</v>
      </c>
      <c r="AE163">
        <v>7.6178520000000001</v>
      </c>
      <c r="AF163">
        <v>0</v>
      </c>
      <c r="AG163">
        <v>305.46130399999998</v>
      </c>
      <c r="AH163">
        <v>28.167669</v>
      </c>
      <c r="AI163">
        <v>208.589508</v>
      </c>
      <c r="AJ163">
        <v>34.947516999999998</v>
      </c>
      <c r="AK163">
        <v>153.64077800000001</v>
      </c>
      <c r="AL163">
        <v>58.722538</v>
      </c>
      <c r="AM163">
        <v>52.858887000000003</v>
      </c>
      <c r="AN163">
        <v>54.923366999999999</v>
      </c>
      <c r="AO163">
        <v>358.91644300000002</v>
      </c>
      <c r="AP163">
        <v>51.189655000000002</v>
      </c>
      <c r="AQ163">
        <v>89.036818999999994</v>
      </c>
      <c r="AR163">
        <v>108.154663</v>
      </c>
      <c r="AS163">
        <v>86.421204000000003</v>
      </c>
      <c r="AT163">
        <v>12.854680999999999</v>
      </c>
      <c r="AU163">
        <v>173.85266100000001</v>
      </c>
      <c r="AV163">
        <v>51.117927999999999</v>
      </c>
      <c r="AW163">
        <v>359.18630999999999</v>
      </c>
      <c r="AX163">
        <v>51.264313000000001</v>
      </c>
      <c r="AY163">
        <v>73.191176999999996</v>
      </c>
      <c r="AZ163">
        <v>109.68428</v>
      </c>
      <c r="BA163">
        <v>100.22071099999999</v>
      </c>
      <c r="BB163">
        <v>12.672411</v>
      </c>
      <c r="BC163">
        <v>26.213566</v>
      </c>
      <c r="BD163">
        <v>245.77211</v>
      </c>
      <c r="BE163">
        <v>37.507694000000001</v>
      </c>
      <c r="BF163">
        <v>38.042949999999998</v>
      </c>
      <c r="BG163">
        <v>25.174873000000002</v>
      </c>
      <c r="BH163">
        <v>55</v>
      </c>
      <c r="BI163">
        <v>2</v>
      </c>
      <c r="BJ163">
        <v>20</v>
      </c>
      <c r="BK163">
        <v>0</v>
      </c>
      <c r="BL163">
        <v>0.1</v>
      </c>
      <c r="BM163">
        <v>0.1</v>
      </c>
      <c r="BN163">
        <v>0</v>
      </c>
      <c r="BO163">
        <v>0</v>
      </c>
      <c r="BP163">
        <v>1</v>
      </c>
      <c r="BQ163">
        <v>1.5400039999999999</v>
      </c>
      <c r="BR163">
        <v>53.911819000000001</v>
      </c>
      <c r="BS163">
        <v>12.880231</v>
      </c>
      <c r="BT163">
        <v>5.3030000000000004E-3</v>
      </c>
      <c r="BU163">
        <v>-29.395477</v>
      </c>
      <c r="BV163">
        <v>27.115224999999999</v>
      </c>
      <c r="BW163">
        <v>12.877865999999999</v>
      </c>
      <c r="BX163">
        <v>3.6973600000000002</v>
      </c>
      <c r="BY163">
        <v>16.853952</v>
      </c>
      <c r="BZ163">
        <v>0.45610600000000001</v>
      </c>
      <c r="CA163">
        <v>2020</v>
      </c>
      <c r="CB163">
        <v>2</v>
      </c>
      <c r="CC163">
        <v>27</v>
      </c>
      <c r="CD163">
        <v>19</v>
      </c>
      <c r="CE163">
        <v>48</v>
      </c>
      <c r="CF163">
        <v>5.4899979999999999</v>
      </c>
      <c r="CG163">
        <v>2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0.35593200000000003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</row>
    <row r="164" spans="1:105" x14ac:dyDescent="0.25">
      <c r="A164">
        <v>163</v>
      </c>
      <c r="B164" t="s">
        <v>301</v>
      </c>
      <c r="C164">
        <v>58906.920861999999</v>
      </c>
      <c r="D164">
        <v>338.50589000000002</v>
      </c>
      <c r="E164" s="3" t="s">
        <v>106</v>
      </c>
      <c r="F164" s="3" t="s">
        <v>191</v>
      </c>
      <c r="G164">
        <v>1.466496</v>
      </c>
      <c r="H164">
        <v>121.238159</v>
      </c>
      <c r="I164">
        <v>26.819600999999999</v>
      </c>
      <c r="J164">
        <v>118.854759</v>
      </c>
      <c r="K164">
        <v>21.386901999999999</v>
      </c>
      <c r="L164">
        <v>116.704094</v>
      </c>
      <c r="M164">
        <v>0.58515200000000001</v>
      </c>
      <c r="N164">
        <v>14.675385</v>
      </c>
      <c r="O164">
        <v>14.675385</v>
      </c>
      <c r="P164">
        <v>9.5570330000000006</v>
      </c>
      <c r="Q164">
        <v>37.063842999999999</v>
      </c>
      <c r="R164">
        <v>2.1232700000000002</v>
      </c>
      <c r="S164">
        <v>0.94449399999999994</v>
      </c>
      <c r="T164">
        <v>0.55517000000000005</v>
      </c>
      <c r="U164">
        <v>3.0951559999999998</v>
      </c>
      <c r="V164">
        <v>209.50788900000001</v>
      </c>
      <c r="W164">
        <v>338.639343</v>
      </c>
      <c r="X164">
        <v>0.153889</v>
      </c>
      <c r="Y164" t="s">
        <v>114</v>
      </c>
      <c r="Z164">
        <v>-1</v>
      </c>
      <c r="AA164">
        <v>-1</v>
      </c>
      <c r="AB164">
        <v>1.4</v>
      </c>
      <c r="AC164">
        <v>1.8210649999999999</v>
      </c>
      <c r="AD164">
        <v>0.24</v>
      </c>
      <c r="AE164">
        <v>7.64</v>
      </c>
      <c r="AF164">
        <v>0</v>
      </c>
      <c r="AG164">
        <v>36.259197</v>
      </c>
      <c r="AH164">
        <v>-9.8214780000000008</v>
      </c>
      <c r="AI164">
        <v>258.301941</v>
      </c>
      <c r="AJ164">
        <v>8.2158529999999992</v>
      </c>
      <c r="AK164">
        <v>51.145214000000003</v>
      </c>
      <c r="AL164">
        <v>79.844436999999999</v>
      </c>
      <c r="AM164">
        <v>343.87057499999997</v>
      </c>
      <c r="AN164">
        <v>52.328938000000001</v>
      </c>
      <c r="AO164">
        <v>358.74185199999999</v>
      </c>
      <c r="AP164">
        <v>51.451973000000002</v>
      </c>
      <c r="AQ164">
        <v>77.735755999999995</v>
      </c>
      <c r="AR164">
        <v>97.836357000000007</v>
      </c>
      <c r="AS164">
        <v>60.152538</v>
      </c>
      <c r="AT164">
        <v>27.12266</v>
      </c>
      <c r="AU164">
        <v>40.794021999999998</v>
      </c>
      <c r="AV164">
        <v>80.148285000000001</v>
      </c>
      <c r="AW164">
        <v>358.74670400000002</v>
      </c>
      <c r="AX164">
        <v>51.464793999999998</v>
      </c>
      <c r="AY164">
        <v>74.545822000000001</v>
      </c>
      <c r="AZ164">
        <v>96.131996000000001</v>
      </c>
      <c r="BA164">
        <v>61.973605999999997</v>
      </c>
      <c r="BB164">
        <v>27.644210999999999</v>
      </c>
      <c r="BC164">
        <v>3.5220919999999998</v>
      </c>
      <c r="BD164">
        <v>192.538895</v>
      </c>
      <c r="BE164">
        <v>64.905395999999996</v>
      </c>
      <c r="BF164">
        <v>65.372208000000001</v>
      </c>
      <c r="BG164">
        <v>59.645592000000001</v>
      </c>
      <c r="BH164">
        <v>13</v>
      </c>
      <c r="BI164">
        <v>11</v>
      </c>
      <c r="BJ164">
        <v>15.384615</v>
      </c>
      <c r="BK164">
        <v>108</v>
      </c>
      <c r="BL164">
        <v>2.9180000000000001E-2</v>
      </c>
      <c r="BM164">
        <v>2.776E-2</v>
      </c>
      <c r="BN164">
        <v>-1</v>
      </c>
      <c r="BO164">
        <v>3</v>
      </c>
      <c r="BP164">
        <v>1</v>
      </c>
      <c r="BQ164">
        <v>1.919996</v>
      </c>
      <c r="BR164">
        <v>53.911568000000003</v>
      </c>
      <c r="BS164">
        <v>31.709880999999999</v>
      </c>
      <c r="BT164">
        <v>7.8530000000000006E-3</v>
      </c>
      <c r="BU164">
        <v>67.730796999999995</v>
      </c>
      <c r="BV164">
        <v>2.2656610000000001</v>
      </c>
      <c r="BW164">
        <v>5.8516349999999999</v>
      </c>
      <c r="BX164">
        <v>2.3877709999999999</v>
      </c>
      <c r="BY164">
        <v>5.1462839999999996</v>
      </c>
      <c r="BZ164">
        <v>0.81617799999999996</v>
      </c>
      <c r="CA164">
        <v>2020</v>
      </c>
      <c r="CB164">
        <v>2</v>
      </c>
      <c r="CC164">
        <v>27</v>
      </c>
      <c r="CD164">
        <v>22</v>
      </c>
      <c r="CE164">
        <v>6</v>
      </c>
      <c r="CF164">
        <v>2.5099999999999998</v>
      </c>
      <c r="CG164">
        <v>2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0.470972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</row>
    <row r="165" spans="1:105" x14ac:dyDescent="0.25">
      <c r="A165">
        <v>164</v>
      </c>
      <c r="B165" t="s">
        <v>302</v>
      </c>
      <c r="C165">
        <v>58906.955411000003</v>
      </c>
      <c r="D165">
        <v>338.54061899999999</v>
      </c>
      <c r="E165" s="3" t="s">
        <v>154</v>
      </c>
      <c r="F165" s="3" t="s">
        <v>191</v>
      </c>
      <c r="G165">
        <v>0.16252</v>
      </c>
      <c r="H165">
        <v>309.40176400000001</v>
      </c>
      <c r="I165">
        <v>77.550064000000006</v>
      </c>
      <c r="J165">
        <v>315.42477400000001</v>
      </c>
      <c r="K165">
        <v>71.678329000000005</v>
      </c>
      <c r="L165">
        <v>38.031925000000001</v>
      </c>
      <c r="M165">
        <v>73.483902</v>
      </c>
      <c r="N165">
        <v>18.861469</v>
      </c>
      <c r="O165">
        <v>18.861469</v>
      </c>
      <c r="P165">
        <v>15.179442999999999</v>
      </c>
      <c r="Q165">
        <v>36.888644999999997</v>
      </c>
      <c r="R165">
        <v>2.0594769999999998</v>
      </c>
      <c r="S165">
        <v>0.98321499999999995</v>
      </c>
      <c r="T165">
        <v>0.52259</v>
      </c>
      <c r="U165">
        <v>2.9567209999999999</v>
      </c>
      <c r="V165">
        <v>168.23155199999999</v>
      </c>
      <c r="W165">
        <v>338.54144300000002</v>
      </c>
      <c r="X165">
        <v>23.297457000000001</v>
      </c>
      <c r="Y165" t="s">
        <v>114</v>
      </c>
      <c r="Z165">
        <v>-1</v>
      </c>
      <c r="AA165">
        <v>-1</v>
      </c>
      <c r="AB165">
        <v>0.5</v>
      </c>
      <c r="AC165">
        <v>1.2910649999999999</v>
      </c>
      <c r="AD165">
        <v>0.14000000000000001</v>
      </c>
      <c r="AE165">
        <v>9.6649999999999991</v>
      </c>
      <c r="AF165">
        <v>0</v>
      </c>
      <c r="AG165">
        <v>65.076248000000007</v>
      </c>
      <c r="AH165">
        <v>5.4639389999999999</v>
      </c>
      <c r="AI165">
        <v>87.080894000000001</v>
      </c>
      <c r="AJ165">
        <v>-1.9366049999999999</v>
      </c>
      <c r="AK165">
        <v>155.77188100000001</v>
      </c>
      <c r="AL165">
        <v>7.2335760000000002</v>
      </c>
      <c r="AM165">
        <v>157.749146</v>
      </c>
      <c r="AN165">
        <v>44.255428000000002</v>
      </c>
      <c r="AO165">
        <v>359.41125499999998</v>
      </c>
      <c r="AP165">
        <v>50.254004999999999</v>
      </c>
      <c r="AQ165">
        <v>82.373390000000001</v>
      </c>
      <c r="AR165">
        <v>116.70880099999999</v>
      </c>
      <c r="AS165">
        <v>93.937156999999999</v>
      </c>
      <c r="AT165">
        <v>22.341028000000001</v>
      </c>
      <c r="AU165">
        <v>155.64730800000001</v>
      </c>
      <c r="AV165">
        <v>5.948455</v>
      </c>
      <c r="AW165">
        <v>359.40972900000003</v>
      </c>
      <c r="AX165">
        <v>50.235508000000003</v>
      </c>
      <c r="AY165">
        <v>80.748299000000003</v>
      </c>
      <c r="AZ165">
        <v>116.91983</v>
      </c>
      <c r="BA165">
        <v>95.228226000000006</v>
      </c>
      <c r="BB165">
        <v>22.298534</v>
      </c>
      <c r="BC165">
        <v>2.640606</v>
      </c>
      <c r="BD165">
        <v>3.0689489999999999</v>
      </c>
      <c r="BE165">
        <v>38.069633000000003</v>
      </c>
      <c r="BF165">
        <v>38.739032999999999</v>
      </c>
      <c r="BG165">
        <v>32.742794000000004</v>
      </c>
      <c r="BH165">
        <v>8</v>
      </c>
      <c r="BI165">
        <v>8</v>
      </c>
      <c r="BJ165">
        <v>0</v>
      </c>
      <c r="BK165">
        <v>43</v>
      </c>
      <c r="BL165">
        <v>1.8110000000000001E-2</v>
      </c>
      <c r="BM165">
        <v>5.2599999999999999E-3</v>
      </c>
      <c r="BN165">
        <v>-1</v>
      </c>
      <c r="BO165">
        <v>3</v>
      </c>
      <c r="BP165">
        <v>1</v>
      </c>
      <c r="BQ165">
        <v>2.7299989999999998</v>
      </c>
      <c r="BR165">
        <v>53.911568000000003</v>
      </c>
      <c r="BS165">
        <v>22.396737999999999</v>
      </c>
      <c r="BT165">
        <v>1.1996E-2</v>
      </c>
      <c r="BU165">
        <v>76.014342999999997</v>
      </c>
      <c r="BV165">
        <v>6.6529829999999999</v>
      </c>
      <c r="BW165">
        <v>6.0776579999999996</v>
      </c>
      <c r="BX165">
        <v>3.8658380000000001</v>
      </c>
      <c r="BY165">
        <v>10.188475</v>
      </c>
      <c r="BZ165">
        <v>0.69583200000000001</v>
      </c>
      <c r="CA165">
        <v>2020</v>
      </c>
      <c r="CB165">
        <v>2</v>
      </c>
      <c r="CC165">
        <v>27</v>
      </c>
      <c r="CD165">
        <v>22</v>
      </c>
      <c r="CE165">
        <v>55</v>
      </c>
      <c r="CF165">
        <v>47.489998</v>
      </c>
      <c r="CG165">
        <v>2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0.48555999999999999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</row>
    <row r="166" spans="1:105" x14ac:dyDescent="0.25">
      <c r="A166">
        <v>165</v>
      </c>
      <c r="B166" t="s">
        <v>303</v>
      </c>
      <c r="C166">
        <v>58906.983530999998</v>
      </c>
      <c r="D166">
        <v>338.56887799999998</v>
      </c>
      <c r="E166" s="3" t="s">
        <v>154</v>
      </c>
      <c r="F166" s="3" t="s">
        <v>191</v>
      </c>
      <c r="G166">
        <v>-0.216776</v>
      </c>
      <c r="H166">
        <v>274.61550899999997</v>
      </c>
      <c r="I166">
        <v>76.166488999999999</v>
      </c>
      <c r="J166">
        <v>286.19101000000001</v>
      </c>
      <c r="K166">
        <v>73.731148000000005</v>
      </c>
      <c r="L166">
        <v>59.939377</v>
      </c>
      <c r="M166">
        <v>81.028351000000001</v>
      </c>
      <c r="N166">
        <v>21.903749000000001</v>
      </c>
      <c r="O166">
        <v>21.903749000000001</v>
      </c>
      <c r="P166">
        <v>18.770838000000001</v>
      </c>
      <c r="Q166">
        <v>37.838036000000002</v>
      </c>
      <c r="R166">
        <v>2.4656340000000001</v>
      </c>
      <c r="S166">
        <v>0.98970999999999998</v>
      </c>
      <c r="T166">
        <v>0.59859799999999996</v>
      </c>
      <c r="U166">
        <v>3.8731789999999999</v>
      </c>
      <c r="V166">
        <v>176.58964499999999</v>
      </c>
      <c r="W166">
        <v>338.56951900000001</v>
      </c>
      <c r="X166">
        <v>29.350156999999999</v>
      </c>
      <c r="Y166" t="s">
        <v>114</v>
      </c>
      <c r="Z166">
        <v>-1</v>
      </c>
      <c r="AA166">
        <v>-1</v>
      </c>
      <c r="AB166">
        <v>0.1</v>
      </c>
      <c r="AC166">
        <v>5.6424060000000003</v>
      </c>
      <c r="AD166">
        <v>0.52</v>
      </c>
      <c r="AE166">
        <v>10.856999999999999</v>
      </c>
      <c r="AF166">
        <v>0</v>
      </c>
      <c r="AG166">
        <v>68.102440000000001</v>
      </c>
      <c r="AH166">
        <v>12.426379000000001</v>
      </c>
      <c r="AI166">
        <v>77.421531999999999</v>
      </c>
      <c r="AJ166">
        <v>-9.6686169999999994</v>
      </c>
      <c r="AK166">
        <v>160.026093</v>
      </c>
      <c r="AL166">
        <v>8.6618770000000005</v>
      </c>
      <c r="AM166">
        <v>165.51625100000001</v>
      </c>
      <c r="AN166">
        <v>46.824364000000003</v>
      </c>
      <c r="AO166">
        <v>359.24704000000003</v>
      </c>
      <c r="AP166">
        <v>50.261691999999996</v>
      </c>
      <c r="AQ166">
        <v>85.210144</v>
      </c>
      <c r="AR166">
        <v>115.698143</v>
      </c>
      <c r="AS166">
        <v>87.255836000000002</v>
      </c>
      <c r="AT166">
        <v>23.165621000000002</v>
      </c>
      <c r="AU166">
        <v>158.79795799999999</v>
      </c>
      <c r="AV166">
        <v>3.1531929999999999</v>
      </c>
      <c r="AW166">
        <v>359.21582000000001</v>
      </c>
      <c r="AX166">
        <v>50.188262999999999</v>
      </c>
      <c r="AY166">
        <v>77.685790999999995</v>
      </c>
      <c r="AZ166">
        <v>115.71350099999999</v>
      </c>
      <c r="BA166">
        <v>92.898239000000004</v>
      </c>
      <c r="BB166">
        <v>23.162369000000002</v>
      </c>
      <c r="BC166">
        <v>11.389950000000001</v>
      </c>
      <c r="BD166">
        <v>15.351151</v>
      </c>
      <c r="BE166">
        <v>41.426254</v>
      </c>
      <c r="BF166">
        <v>42.034087999999997</v>
      </c>
      <c r="BG166">
        <v>38.263106999999998</v>
      </c>
      <c r="BH166">
        <v>27</v>
      </c>
      <c r="BI166">
        <v>26</v>
      </c>
      <c r="BJ166">
        <v>3.7037040000000001</v>
      </c>
      <c r="BK166">
        <v>51</v>
      </c>
      <c r="BL166">
        <v>1.8890000000000001E-2</v>
      </c>
      <c r="BM166">
        <v>7.11E-3</v>
      </c>
      <c r="BN166">
        <v>-1</v>
      </c>
      <c r="BO166">
        <v>3</v>
      </c>
      <c r="BP166">
        <v>1</v>
      </c>
      <c r="BQ166">
        <v>2.6299899999999998</v>
      </c>
      <c r="BR166">
        <v>53.911568000000003</v>
      </c>
      <c r="BS166">
        <v>23.193769</v>
      </c>
      <c r="BT166">
        <v>1.0906000000000001E-2</v>
      </c>
      <c r="BU166">
        <v>48.953426</v>
      </c>
      <c r="BV166">
        <v>3.7203119999999998</v>
      </c>
      <c r="BW166">
        <v>3.8575029999999999</v>
      </c>
      <c r="BX166">
        <v>0.846885</v>
      </c>
      <c r="BY166">
        <v>2.1530719999999999</v>
      </c>
      <c r="BZ166">
        <v>0.92461000000000004</v>
      </c>
      <c r="CA166">
        <v>2020</v>
      </c>
      <c r="CB166">
        <v>2</v>
      </c>
      <c r="CC166">
        <v>27</v>
      </c>
      <c r="CD166">
        <v>23</v>
      </c>
      <c r="CE166">
        <v>36</v>
      </c>
      <c r="CF166">
        <v>17.040005000000001</v>
      </c>
      <c r="CG166">
        <v>2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0.40557500000000002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</row>
    <row r="167" spans="1:105" x14ac:dyDescent="0.25">
      <c r="A167">
        <v>166</v>
      </c>
      <c r="B167" t="s">
        <v>304</v>
      </c>
      <c r="C167">
        <v>58909.141924000003</v>
      </c>
      <c r="D167">
        <v>340.73684700000001</v>
      </c>
      <c r="E167" s="2" t="s">
        <v>125</v>
      </c>
      <c r="F167" s="2" t="s">
        <v>113</v>
      </c>
      <c r="G167">
        <v>-2.7910200000000001</v>
      </c>
      <c r="H167">
        <v>246.616592</v>
      </c>
      <c r="I167">
        <v>36.367843999999998</v>
      </c>
      <c r="J167">
        <v>246.68388400000001</v>
      </c>
      <c r="K167">
        <v>36.171970000000002</v>
      </c>
      <c r="L167">
        <v>234.34697</v>
      </c>
      <c r="M167">
        <v>56.758724000000001</v>
      </c>
      <c r="N167">
        <v>47.643391000000001</v>
      </c>
      <c r="O167">
        <v>47.643391000000001</v>
      </c>
      <c r="P167">
        <v>46.169272999999997</v>
      </c>
      <c r="Q167">
        <v>39.620990999999997</v>
      </c>
      <c r="R167">
        <v>4.0182849999999997</v>
      </c>
      <c r="S167">
        <v>0.95779199999999998</v>
      </c>
      <c r="T167">
        <v>0.76164200000000004</v>
      </c>
      <c r="U167">
        <v>8.0581600000000009</v>
      </c>
      <c r="V167">
        <v>202.664413</v>
      </c>
      <c r="W167">
        <v>340.73690800000003</v>
      </c>
      <c r="X167">
        <v>81.488945000000001</v>
      </c>
      <c r="Y167" t="s">
        <v>114</v>
      </c>
      <c r="Z167">
        <v>-1</v>
      </c>
      <c r="AA167">
        <v>-1</v>
      </c>
      <c r="AB167">
        <v>-1.4</v>
      </c>
      <c r="AC167">
        <v>8.0608730000000008</v>
      </c>
      <c r="AD167">
        <v>0.56000000000000005</v>
      </c>
      <c r="AE167">
        <v>14.507</v>
      </c>
      <c r="AF167">
        <v>0</v>
      </c>
      <c r="AG167">
        <v>346.11776700000001</v>
      </c>
      <c r="AH167">
        <v>12.634335</v>
      </c>
      <c r="AI167">
        <v>337.90933200000001</v>
      </c>
      <c r="AJ167">
        <v>-35.394291000000003</v>
      </c>
      <c r="AK167">
        <v>93.754020999999995</v>
      </c>
      <c r="AL167">
        <v>53.503979000000001</v>
      </c>
      <c r="AM167">
        <v>322.16854899999998</v>
      </c>
      <c r="AN167">
        <v>28.486280000000001</v>
      </c>
      <c r="AO167">
        <v>-2.8124389999999999</v>
      </c>
      <c r="AP167">
        <v>53.030459999999998</v>
      </c>
      <c r="AQ167">
        <v>92.168807999999999</v>
      </c>
      <c r="AR167">
        <v>189.494415</v>
      </c>
      <c r="AS167">
        <v>87.106194000000002</v>
      </c>
      <c r="AT167">
        <v>36.827643999999999</v>
      </c>
      <c r="AU167">
        <v>89.502685999999997</v>
      </c>
      <c r="AV167">
        <v>45.922423999999999</v>
      </c>
      <c r="AW167">
        <v>-3.011663</v>
      </c>
      <c r="AX167">
        <v>53.063751000000003</v>
      </c>
      <c r="AY167">
        <v>69.493979999999993</v>
      </c>
      <c r="AZ167">
        <v>190.02499399999999</v>
      </c>
      <c r="BA167">
        <v>95.167061000000004</v>
      </c>
      <c r="BB167">
        <v>36.707939000000003</v>
      </c>
      <c r="BC167">
        <v>26.680298000000001</v>
      </c>
      <c r="BD167">
        <v>105.731628</v>
      </c>
      <c r="BE167">
        <v>58.122261000000002</v>
      </c>
      <c r="BF167">
        <v>59.313412</v>
      </c>
      <c r="BG167">
        <v>59.140853999999997</v>
      </c>
      <c r="BH167">
        <v>29</v>
      </c>
      <c r="BI167">
        <v>29</v>
      </c>
      <c r="BJ167">
        <v>0</v>
      </c>
      <c r="BK167">
        <v>22</v>
      </c>
      <c r="BL167">
        <v>5.2909999999999999E-2</v>
      </c>
      <c r="BM167">
        <v>1.4E-2</v>
      </c>
      <c r="BN167">
        <v>-1</v>
      </c>
      <c r="BO167">
        <v>3</v>
      </c>
      <c r="BP167">
        <v>1</v>
      </c>
      <c r="BQ167">
        <v>0.19999900000000001</v>
      </c>
      <c r="BR167">
        <v>157.786438</v>
      </c>
      <c r="BS167">
        <v>36.882454000000003</v>
      </c>
      <c r="BT167">
        <v>1.1360319999999999</v>
      </c>
      <c r="BU167">
        <v>14.570019</v>
      </c>
      <c r="BV167">
        <v>0.53227000000000002</v>
      </c>
      <c r="BW167">
        <v>0.20324800000000001</v>
      </c>
      <c r="BX167">
        <v>1.0919319999999999</v>
      </c>
      <c r="BY167">
        <v>1.8267789999999999</v>
      </c>
      <c r="BZ167">
        <v>0.94125800000000004</v>
      </c>
      <c r="CA167">
        <v>2020</v>
      </c>
      <c r="CB167">
        <v>3</v>
      </c>
      <c r="CC167">
        <v>1</v>
      </c>
      <c r="CD167">
        <v>3</v>
      </c>
      <c r="CE167">
        <v>24</v>
      </c>
      <c r="CF167">
        <v>22.220001</v>
      </c>
      <c r="CG167">
        <v>2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0.248862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</row>
    <row r="168" spans="1:105" x14ac:dyDescent="0.25">
      <c r="A168">
        <v>167</v>
      </c>
      <c r="B168" t="s">
        <v>305</v>
      </c>
      <c r="C168">
        <v>58909.229185999997</v>
      </c>
      <c r="D168">
        <v>340.824432</v>
      </c>
      <c r="E168" s="3" t="s">
        <v>107</v>
      </c>
      <c r="F168" s="3" t="s">
        <v>106</v>
      </c>
      <c r="G168">
        <v>-1.396771</v>
      </c>
      <c r="H168">
        <v>202.24491900000001</v>
      </c>
      <c r="I168">
        <v>20.532875000000001</v>
      </c>
      <c r="J168">
        <v>201.57432600000001</v>
      </c>
      <c r="K168">
        <v>19.933157000000001</v>
      </c>
      <c r="L168">
        <v>191.73260500000001</v>
      </c>
      <c r="M168">
        <v>26.762042999999998</v>
      </c>
      <c r="N168">
        <v>47.610306000000001</v>
      </c>
      <c r="O168">
        <v>47.610306000000001</v>
      </c>
      <c r="P168">
        <v>46.448729999999998</v>
      </c>
      <c r="Q168">
        <v>41.846764</v>
      </c>
      <c r="R168">
        <v>22.512241</v>
      </c>
      <c r="S168">
        <v>0.286331</v>
      </c>
      <c r="T168">
        <v>0.98728099999999996</v>
      </c>
      <c r="U168">
        <v>106.856964</v>
      </c>
      <c r="V168">
        <v>295.54605099999998</v>
      </c>
      <c r="W168">
        <v>340.82458500000001</v>
      </c>
      <c r="X168">
        <v>67.287803999999994</v>
      </c>
      <c r="Y168" t="s">
        <v>114</v>
      </c>
      <c r="Z168">
        <v>-1</v>
      </c>
      <c r="AA168">
        <v>-1</v>
      </c>
      <c r="AB168">
        <v>-0.3</v>
      </c>
      <c r="AC168">
        <v>3.9509720000000002</v>
      </c>
      <c r="AD168">
        <v>0.24</v>
      </c>
      <c r="AE168">
        <v>16.542998999999998</v>
      </c>
      <c r="AF168">
        <v>0</v>
      </c>
      <c r="AG168">
        <v>114.1157</v>
      </c>
      <c r="AH168">
        <v>-4.9813970000000003</v>
      </c>
      <c r="AI168">
        <v>217.200119</v>
      </c>
      <c r="AJ168">
        <v>30.917646000000001</v>
      </c>
      <c r="AK168">
        <v>39.367443000000002</v>
      </c>
      <c r="AL168">
        <v>71.668091000000004</v>
      </c>
      <c r="AM168">
        <v>6.9705839999999997</v>
      </c>
      <c r="AN168">
        <v>33.174118</v>
      </c>
      <c r="AO168">
        <v>-2.9710740000000002</v>
      </c>
      <c r="AP168">
        <v>51.911186000000001</v>
      </c>
      <c r="AQ168">
        <v>92.205123999999998</v>
      </c>
      <c r="AR168">
        <v>165.80928</v>
      </c>
      <c r="AS168">
        <v>87.050285000000002</v>
      </c>
      <c r="AT168">
        <v>43.481720000000003</v>
      </c>
      <c r="AU168">
        <v>36.476109000000001</v>
      </c>
      <c r="AV168">
        <v>67.844734000000003</v>
      </c>
      <c r="AW168">
        <v>-2.8791069999999999</v>
      </c>
      <c r="AX168">
        <v>51.948813999999999</v>
      </c>
      <c r="AY168">
        <v>83.767951999999994</v>
      </c>
      <c r="AZ168">
        <v>165.61488299999999</v>
      </c>
      <c r="BA168">
        <v>91.001259000000005</v>
      </c>
      <c r="BB168">
        <v>43.545532000000001</v>
      </c>
      <c r="BC168">
        <v>11.426473</v>
      </c>
      <c r="BD168">
        <v>235.92889400000001</v>
      </c>
      <c r="BE168">
        <v>47.663806999999998</v>
      </c>
      <c r="BF168">
        <v>48.470779</v>
      </c>
      <c r="BG168">
        <v>47.620243000000002</v>
      </c>
      <c r="BH168">
        <v>13</v>
      </c>
      <c r="BI168">
        <v>13</v>
      </c>
      <c r="BJ168">
        <v>0</v>
      </c>
      <c r="BK168">
        <v>22</v>
      </c>
      <c r="BL168">
        <v>4.6429999999999999E-2</v>
      </c>
      <c r="BM168">
        <v>1.269E-2</v>
      </c>
      <c r="BN168">
        <v>-1</v>
      </c>
      <c r="BO168">
        <v>3</v>
      </c>
      <c r="BP168">
        <v>1</v>
      </c>
      <c r="BQ168">
        <v>0.159997</v>
      </c>
      <c r="BR168">
        <v>156.88954200000001</v>
      </c>
      <c r="BS168">
        <v>43.553851999999999</v>
      </c>
      <c r="BT168">
        <v>5.2400000000000005E-4</v>
      </c>
      <c r="BU168">
        <v>96.179976999999994</v>
      </c>
      <c r="BV168">
        <v>0.77376299999999998</v>
      </c>
      <c r="BW168">
        <v>0.86923300000000003</v>
      </c>
      <c r="BX168">
        <v>1.6696800000000001</v>
      </c>
      <c r="BY168">
        <v>2.4235820000000001</v>
      </c>
      <c r="BZ168">
        <v>0.92342900000000006</v>
      </c>
      <c r="CA168">
        <v>2020</v>
      </c>
      <c r="CB168">
        <v>3</v>
      </c>
      <c r="CC168">
        <v>1</v>
      </c>
      <c r="CD168">
        <v>5</v>
      </c>
      <c r="CE168">
        <v>30</v>
      </c>
      <c r="CF168">
        <v>1.64</v>
      </c>
      <c r="CG168">
        <v>2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4.4420000000000001E-2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</row>
    <row r="169" spans="1:105" x14ac:dyDescent="0.25">
      <c r="A169">
        <v>168</v>
      </c>
      <c r="B169" t="s">
        <v>306</v>
      </c>
      <c r="C169">
        <v>58911.039381000002</v>
      </c>
      <c r="D169">
        <v>342.64056399999998</v>
      </c>
      <c r="E169" s="3" t="s">
        <v>153</v>
      </c>
      <c r="F169" s="3" t="s">
        <v>154</v>
      </c>
      <c r="G169">
        <v>-0.640768</v>
      </c>
      <c r="H169">
        <v>153.61248800000001</v>
      </c>
      <c r="I169">
        <v>-7.1125480000000003</v>
      </c>
      <c r="J169">
        <v>152.13308699999999</v>
      </c>
      <c r="K169">
        <v>-10.020402000000001</v>
      </c>
      <c r="L169">
        <v>157.92167699999999</v>
      </c>
      <c r="M169">
        <v>-20.042504999999998</v>
      </c>
      <c r="N169">
        <v>27.174616</v>
      </c>
      <c r="O169">
        <v>27.174616</v>
      </c>
      <c r="P169">
        <v>24.881857</v>
      </c>
      <c r="Q169">
        <v>40.219695999999999</v>
      </c>
      <c r="R169">
        <v>5.1532460000000002</v>
      </c>
      <c r="S169">
        <v>0.64670799999999995</v>
      </c>
      <c r="T169">
        <v>0.87450499999999998</v>
      </c>
      <c r="U169">
        <v>11.702969</v>
      </c>
      <c r="V169">
        <v>75.235839999999996</v>
      </c>
      <c r="W169">
        <v>162.63958700000001</v>
      </c>
      <c r="X169">
        <v>14.936626</v>
      </c>
      <c r="Y169" t="s">
        <v>114</v>
      </c>
      <c r="Z169">
        <v>-1</v>
      </c>
      <c r="AA169">
        <v>-1</v>
      </c>
      <c r="AB169">
        <v>0.7</v>
      </c>
      <c r="AC169">
        <v>1.0987560000000001</v>
      </c>
      <c r="AD169">
        <v>0.14000000000000001</v>
      </c>
      <c r="AE169">
        <v>7.8639999999999999</v>
      </c>
      <c r="AF169">
        <v>0</v>
      </c>
      <c r="AG169">
        <v>118.239403</v>
      </c>
      <c r="AH169">
        <v>81.299637000000004</v>
      </c>
      <c r="AI169">
        <v>250.25782799999999</v>
      </c>
      <c r="AJ169">
        <v>16.218630000000001</v>
      </c>
      <c r="AK169">
        <v>221.76475500000001</v>
      </c>
      <c r="AL169">
        <v>2.0497139999999998</v>
      </c>
      <c r="AM169">
        <v>123.829224</v>
      </c>
      <c r="AN169">
        <v>26.718610999999999</v>
      </c>
      <c r="AO169">
        <v>0.52481599999999995</v>
      </c>
      <c r="AP169">
        <v>49.978718000000001</v>
      </c>
      <c r="AQ169">
        <v>86.412482999999995</v>
      </c>
      <c r="AR169">
        <v>186.095291</v>
      </c>
      <c r="AS169">
        <v>68.616248999999996</v>
      </c>
      <c r="AT169">
        <v>1.6329940000000001</v>
      </c>
      <c r="AU169">
        <v>222.85237100000001</v>
      </c>
      <c r="AV169">
        <v>2.210931</v>
      </c>
      <c r="AW169">
        <v>0.54458799999999996</v>
      </c>
      <c r="AX169">
        <v>50.005070000000003</v>
      </c>
      <c r="AY169">
        <v>84.528769999999994</v>
      </c>
      <c r="AZ169">
        <v>184.74217200000001</v>
      </c>
      <c r="BA169">
        <v>69.715003999999993</v>
      </c>
      <c r="BB169">
        <v>1.6449579999999999</v>
      </c>
      <c r="BC169">
        <v>3.804446</v>
      </c>
      <c r="BD169">
        <v>205.448059</v>
      </c>
      <c r="BE169">
        <v>29.664413</v>
      </c>
      <c r="BF169">
        <v>29.398478999999998</v>
      </c>
      <c r="BG169">
        <v>26.214044999999999</v>
      </c>
      <c r="BH169">
        <v>8</v>
      </c>
      <c r="BI169">
        <v>7</v>
      </c>
      <c r="BJ169">
        <v>12.5</v>
      </c>
      <c r="BK169">
        <v>17</v>
      </c>
      <c r="BL169">
        <v>1.7399999999999999E-2</v>
      </c>
      <c r="BM169">
        <v>1.099E-2</v>
      </c>
      <c r="BN169">
        <v>-1</v>
      </c>
      <c r="BO169">
        <v>3</v>
      </c>
      <c r="BP169">
        <v>1</v>
      </c>
      <c r="BQ169">
        <v>1.9996E-2</v>
      </c>
      <c r="BR169">
        <v>27.946843999999999</v>
      </c>
      <c r="BS169">
        <v>1.753757</v>
      </c>
      <c r="BT169">
        <v>4.0400000000000001E-4</v>
      </c>
      <c r="BU169">
        <v>61.481048999999999</v>
      </c>
      <c r="BV169">
        <v>3.179735</v>
      </c>
      <c r="BW169">
        <v>3.2550240000000001</v>
      </c>
      <c r="BX169">
        <v>44.129711</v>
      </c>
      <c r="BY169">
        <v>1537.299561</v>
      </c>
      <c r="BZ169">
        <v>9.7090000000000006E-3</v>
      </c>
      <c r="CA169">
        <v>2020</v>
      </c>
      <c r="CB169">
        <v>3</v>
      </c>
      <c r="CC169">
        <v>3</v>
      </c>
      <c r="CD169">
        <v>0</v>
      </c>
      <c r="CE169">
        <v>56</v>
      </c>
      <c r="CF169">
        <v>42.509998000000003</v>
      </c>
      <c r="CG169">
        <v>2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0.194052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</row>
    <row r="170" spans="1:105" x14ac:dyDescent="0.25">
      <c r="A170">
        <v>169</v>
      </c>
      <c r="B170" t="s">
        <v>307</v>
      </c>
      <c r="C170">
        <v>58911.140524000002</v>
      </c>
      <c r="D170">
        <v>342.74197400000003</v>
      </c>
      <c r="E170" s="3" t="s">
        <v>106</v>
      </c>
      <c r="F170" s="3" t="s">
        <v>125</v>
      </c>
      <c r="G170">
        <v>0.42511500000000002</v>
      </c>
      <c r="H170">
        <v>198.200714</v>
      </c>
      <c r="I170">
        <v>13.472568000000001</v>
      </c>
      <c r="J170">
        <v>197.64782700000001</v>
      </c>
      <c r="K170">
        <v>12.724805</v>
      </c>
      <c r="L170">
        <v>191.17993200000001</v>
      </c>
      <c r="M170">
        <v>18.645657</v>
      </c>
      <c r="N170">
        <v>42.28228</v>
      </c>
      <c r="O170">
        <v>42.28228</v>
      </c>
      <c r="P170">
        <v>40.843735000000002</v>
      </c>
      <c r="Q170">
        <v>37.880755999999998</v>
      </c>
      <c r="R170">
        <v>2.5005199999999999</v>
      </c>
      <c r="S170">
        <v>0.17526600000000001</v>
      </c>
      <c r="T170">
        <v>0.92990799999999996</v>
      </c>
      <c r="U170">
        <v>3.955673</v>
      </c>
      <c r="V170">
        <v>315.109802</v>
      </c>
      <c r="W170">
        <v>342.742188</v>
      </c>
      <c r="X170">
        <v>48.363112999999998</v>
      </c>
      <c r="Y170" t="s">
        <v>114</v>
      </c>
      <c r="Z170">
        <v>-1</v>
      </c>
      <c r="AA170">
        <v>-1</v>
      </c>
      <c r="AB170">
        <v>1.2</v>
      </c>
      <c r="AC170">
        <v>2.3280210000000001</v>
      </c>
      <c r="AD170">
        <v>0.14000000000000001</v>
      </c>
      <c r="AE170">
        <v>17.288</v>
      </c>
      <c r="AF170">
        <v>0</v>
      </c>
      <c r="AG170">
        <v>116.63239299999999</v>
      </c>
      <c r="AH170">
        <v>-31.468674</v>
      </c>
      <c r="AI170">
        <v>253.528595</v>
      </c>
      <c r="AJ170">
        <v>11.102916</v>
      </c>
      <c r="AK170">
        <v>110.12915</v>
      </c>
      <c r="AL170">
        <v>58.366402000000001</v>
      </c>
      <c r="AM170">
        <v>319.73538200000002</v>
      </c>
      <c r="AN170">
        <v>36.956252999999997</v>
      </c>
      <c r="AO170">
        <v>-2.0747110000000002</v>
      </c>
      <c r="AP170">
        <v>51.716231999999998</v>
      </c>
      <c r="AQ170">
        <v>87.122482000000005</v>
      </c>
      <c r="AR170">
        <v>143.461029</v>
      </c>
      <c r="AS170">
        <v>77.553528</v>
      </c>
      <c r="AT170">
        <v>11.590121999999999</v>
      </c>
      <c r="AU170">
        <v>105.745377</v>
      </c>
      <c r="AV170">
        <v>58.066082000000002</v>
      </c>
      <c r="AW170">
        <v>-2.0580470000000002</v>
      </c>
      <c r="AX170">
        <v>51.747779999999999</v>
      </c>
      <c r="AY170">
        <v>82.548186999999999</v>
      </c>
      <c r="AZ170">
        <v>142.30265800000001</v>
      </c>
      <c r="BA170">
        <v>79.881546</v>
      </c>
      <c r="BB170">
        <v>11.685791999999999</v>
      </c>
      <c r="BC170">
        <v>5.9195190000000002</v>
      </c>
      <c r="BD170">
        <v>197.67314099999999</v>
      </c>
      <c r="BE170">
        <v>50.558188999999999</v>
      </c>
      <c r="BF170">
        <v>51.084431000000002</v>
      </c>
      <c r="BG170">
        <v>50.236431000000003</v>
      </c>
      <c r="BH170">
        <v>8</v>
      </c>
      <c r="BI170">
        <v>8</v>
      </c>
      <c r="BJ170">
        <v>0</v>
      </c>
      <c r="BK170">
        <v>73</v>
      </c>
      <c r="BL170">
        <v>2.6710000000000001E-2</v>
      </c>
      <c r="BM170">
        <v>1.2109999999999999E-2</v>
      </c>
      <c r="BN170">
        <v>-1</v>
      </c>
      <c r="BO170">
        <v>3</v>
      </c>
      <c r="BP170">
        <v>1</v>
      </c>
      <c r="BQ170">
        <v>4.0002000000000003E-2</v>
      </c>
      <c r="BR170">
        <v>105.11901899999999</v>
      </c>
      <c r="BS170">
        <v>11.873084</v>
      </c>
      <c r="BT170">
        <v>1.13E-4</v>
      </c>
      <c r="BU170">
        <v>-9.8813359999999992</v>
      </c>
      <c r="BV170">
        <v>7.8461949999999998</v>
      </c>
      <c r="BW170">
        <v>0.92148099999999999</v>
      </c>
      <c r="BX170">
        <v>5.1686189999999996</v>
      </c>
      <c r="BY170">
        <v>25.518438</v>
      </c>
      <c r="BZ170">
        <v>0.59405799999999997</v>
      </c>
      <c r="CA170">
        <v>2020</v>
      </c>
      <c r="CB170">
        <v>3</v>
      </c>
      <c r="CC170">
        <v>3</v>
      </c>
      <c r="CD170">
        <v>3</v>
      </c>
      <c r="CE170">
        <v>22</v>
      </c>
      <c r="CF170">
        <v>21.299997000000001</v>
      </c>
      <c r="CG170">
        <v>2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0.39991700000000002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25">
      <c r="A171">
        <v>170</v>
      </c>
      <c r="B171" t="s">
        <v>308</v>
      </c>
      <c r="C171">
        <v>58911.188627000003</v>
      </c>
      <c r="D171">
        <v>342.79019199999999</v>
      </c>
      <c r="E171" s="3" t="s">
        <v>153</v>
      </c>
      <c r="F171" s="3" t="s">
        <v>154</v>
      </c>
      <c r="G171">
        <v>-0.63725900000000002</v>
      </c>
      <c r="H171">
        <v>234.21444700000001</v>
      </c>
      <c r="I171">
        <v>21.099786999999999</v>
      </c>
      <c r="J171">
        <v>233.863449</v>
      </c>
      <c r="K171">
        <v>20.658840000000001</v>
      </c>
      <c r="L171">
        <v>225.06352200000001</v>
      </c>
      <c r="M171">
        <v>38.627746999999999</v>
      </c>
      <c r="N171">
        <v>45.925986999999999</v>
      </c>
      <c r="O171">
        <v>45.925986999999999</v>
      </c>
      <c r="P171">
        <v>44.514698000000003</v>
      </c>
      <c r="Q171">
        <v>31.955696</v>
      </c>
      <c r="R171">
        <v>1.154301</v>
      </c>
      <c r="S171">
        <v>0.56767000000000001</v>
      </c>
      <c r="T171">
        <v>0.50821300000000003</v>
      </c>
      <c r="U171">
        <v>1.240661</v>
      </c>
      <c r="V171">
        <v>285.56579599999998</v>
      </c>
      <c r="W171">
        <v>342.79019199999999</v>
      </c>
      <c r="X171">
        <v>91.534355000000005</v>
      </c>
      <c r="Y171" t="s">
        <v>114</v>
      </c>
      <c r="Z171">
        <v>-1</v>
      </c>
      <c r="AA171">
        <v>-1</v>
      </c>
      <c r="AB171">
        <v>0.9</v>
      </c>
      <c r="AC171">
        <v>0.98797800000000002</v>
      </c>
      <c r="AD171">
        <v>0.1</v>
      </c>
      <c r="AE171">
        <v>9.8510000000000009</v>
      </c>
      <c r="AF171">
        <v>0</v>
      </c>
      <c r="AG171">
        <v>34.964962</v>
      </c>
      <c r="AH171">
        <v>67.769478000000007</v>
      </c>
      <c r="AI171">
        <v>276.77676400000001</v>
      </c>
      <c r="AJ171">
        <v>-4.8507480000000003</v>
      </c>
      <c r="AK171">
        <v>283.57638500000002</v>
      </c>
      <c r="AL171">
        <v>8.4777740000000001</v>
      </c>
      <c r="AM171">
        <v>112.362236</v>
      </c>
      <c r="AN171">
        <v>27.729633</v>
      </c>
      <c r="AO171">
        <v>0.93476499999999996</v>
      </c>
      <c r="AP171">
        <v>50.180076999999997</v>
      </c>
      <c r="AQ171">
        <v>98.056540999999996</v>
      </c>
      <c r="AR171">
        <v>204.466095</v>
      </c>
      <c r="AS171">
        <v>49.152617999999997</v>
      </c>
      <c r="AT171">
        <v>4.6581630000000001</v>
      </c>
      <c r="AU171">
        <v>284.51040599999999</v>
      </c>
      <c r="AV171">
        <v>8.1286280000000009</v>
      </c>
      <c r="AW171">
        <v>0.93068899999999999</v>
      </c>
      <c r="AX171">
        <v>50.199665000000003</v>
      </c>
      <c r="AY171">
        <v>94.049644000000001</v>
      </c>
      <c r="AZ171">
        <v>201.49247700000001</v>
      </c>
      <c r="BA171">
        <v>50.140597999999997</v>
      </c>
      <c r="BB171">
        <v>4.7270640000000004</v>
      </c>
      <c r="BC171">
        <v>4.5925979999999997</v>
      </c>
      <c r="BD171">
        <v>172.01835600000001</v>
      </c>
      <c r="BE171">
        <v>60.667808999999998</v>
      </c>
      <c r="BF171">
        <v>59.787005999999998</v>
      </c>
      <c r="BG171">
        <v>59.394539000000002</v>
      </c>
      <c r="BH171">
        <v>6</v>
      </c>
      <c r="BI171">
        <v>6</v>
      </c>
      <c r="BJ171">
        <v>0</v>
      </c>
      <c r="BK171">
        <v>17</v>
      </c>
      <c r="BL171">
        <v>1.436E-2</v>
      </c>
      <c r="BM171">
        <v>1.8500000000000001E-3</v>
      </c>
      <c r="BN171">
        <v>-1</v>
      </c>
      <c r="BO171">
        <v>3</v>
      </c>
      <c r="BP171">
        <v>1</v>
      </c>
      <c r="BQ171">
        <v>0.190001</v>
      </c>
      <c r="BR171">
        <v>27.946843999999999</v>
      </c>
      <c r="BS171">
        <v>6.1629820000000004</v>
      </c>
      <c r="BT171">
        <v>1.401049</v>
      </c>
      <c r="BU171">
        <v>78.347014999999999</v>
      </c>
      <c r="BV171">
        <v>0.86341800000000002</v>
      </c>
      <c r="BW171">
        <v>0.54952999999999996</v>
      </c>
      <c r="BX171">
        <v>7.14541</v>
      </c>
      <c r="BY171">
        <v>86.706397999999993</v>
      </c>
      <c r="BZ171">
        <v>0.187838</v>
      </c>
      <c r="CA171">
        <v>2020</v>
      </c>
      <c r="CB171">
        <v>3</v>
      </c>
      <c r="CC171">
        <v>3</v>
      </c>
      <c r="CD171">
        <v>4</v>
      </c>
      <c r="CE171">
        <v>31</v>
      </c>
      <c r="CF171">
        <v>37.379997000000003</v>
      </c>
      <c r="CG171">
        <v>2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0.86632500000000001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</row>
    <row r="172" spans="1:105" x14ac:dyDescent="0.25">
      <c r="A172">
        <v>171</v>
      </c>
      <c r="B172" t="s">
        <v>309</v>
      </c>
      <c r="C172">
        <v>58912.167741999998</v>
      </c>
      <c r="D172">
        <v>343.771637</v>
      </c>
      <c r="E172" s="3" t="s">
        <v>153</v>
      </c>
      <c r="F172" s="3" t="s">
        <v>154</v>
      </c>
      <c r="G172">
        <v>-2.2111290000000001</v>
      </c>
      <c r="H172">
        <v>171.07983400000001</v>
      </c>
      <c r="I172">
        <v>-20.492853</v>
      </c>
      <c r="J172">
        <v>169.61711099999999</v>
      </c>
      <c r="K172">
        <v>-22.192292999999999</v>
      </c>
      <c r="L172">
        <v>179.81904599999999</v>
      </c>
      <c r="M172">
        <v>-24.388815000000001</v>
      </c>
      <c r="N172">
        <v>39.685242000000002</v>
      </c>
      <c r="O172">
        <v>39.685242000000002</v>
      </c>
      <c r="P172">
        <v>38.299301</v>
      </c>
      <c r="Q172">
        <v>41.965279000000002</v>
      </c>
      <c r="R172">
        <v>31.467184</v>
      </c>
      <c r="S172">
        <v>0.37109300000000001</v>
      </c>
      <c r="T172">
        <v>0.98820699999999995</v>
      </c>
      <c r="U172">
        <v>176.58815000000001</v>
      </c>
      <c r="V172">
        <v>105.01065800000001</v>
      </c>
      <c r="W172">
        <v>163.77134699999999</v>
      </c>
      <c r="X172">
        <v>37.801673999999998</v>
      </c>
      <c r="Y172" t="s">
        <v>114</v>
      </c>
      <c r="Z172">
        <v>-1</v>
      </c>
      <c r="AA172">
        <v>-1</v>
      </c>
      <c r="AB172">
        <v>-0.8</v>
      </c>
      <c r="AC172">
        <v>2.8045330000000002</v>
      </c>
      <c r="AD172">
        <v>0.24</v>
      </c>
      <c r="AE172">
        <v>11.672000000000001</v>
      </c>
      <c r="AF172">
        <v>0</v>
      </c>
      <c r="AG172">
        <v>0.875718</v>
      </c>
      <c r="AH172">
        <v>-69.229652000000002</v>
      </c>
      <c r="AI172">
        <v>230.15661600000001</v>
      </c>
      <c r="AJ172">
        <v>28.620294999999999</v>
      </c>
      <c r="AK172">
        <v>270.52722199999999</v>
      </c>
      <c r="AL172">
        <v>-0.13217400000000001</v>
      </c>
      <c r="AM172">
        <v>123.689796</v>
      </c>
      <c r="AN172">
        <v>24.176293999999999</v>
      </c>
      <c r="AO172">
        <v>0.61657700000000004</v>
      </c>
      <c r="AP172">
        <v>49.939342000000003</v>
      </c>
      <c r="AQ172">
        <v>80.857056</v>
      </c>
      <c r="AR172">
        <v>190.681534</v>
      </c>
      <c r="AS172">
        <v>98.797707000000003</v>
      </c>
      <c r="AT172">
        <v>9.5685000000000006E-2</v>
      </c>
      <c r="AU172">
        <v>273.14965799999999</v>
      </c>
      <c r="AV172">
        <v>0.862151</v>
      </c>
      <c r="AW172">
        <v>0.71381600000000001</v>
      </c>
      <c r="AX172">
        <v>49.995398999999999</v>
      </c>
      <c r="AY172">
        <v>79.905013999999994</v>
      </c>
      <c r="AZ172">
        <v>192.36882</v>
      </c>
      <c r="BA172">
        <v>101.602242</v>
      </c>
      <c r="BB172">
        <v>9.4846E-2</v>
      </c>
      <c r="BC172">
        <v>9.5244579999999992</v>
      </c>
      <c r="BD172">
        <v>227.89875799999999</v>
      </c>
      <c r="BE172">
        <v>5.8027090000000001</v>
      </c>
      <c r="BF172">
        <v>6.1319889999999999</v>
      </c>
      <c r="BG172">
        <v>3.9824959999999998</v>
      </c>
      <c r="BH172">
        <v>13</v>
      </c>
      <c r="BI172">
        <v>13</v>
      </c>
      <c r="BJ172">
        <v>0</v>
      </c>
      <c r="BK172">
        <v>11</v>
      </c>
      <c r="BL172">
        <v>1.176E-2</v>
      </c>
      <c r="BM172">
        <v>4.5799999999999999E-3</v>
      </c>
      <c r="BN172">
        <v>-1</v>
      </c>
      <c r="BO172">
        <v>3</v>
      </c>
      <c r="BP172">
        <v>1</v>
      </c>
      <c r="BQ172">
        <v>9.9988999999999995E-2</v>
      </c>
      <c r="BR172">
        <v>27.946843999999999</v>
      </c>
      <c r="BS172">
        <v>9.6823999999999993E-2</v>
      </c>
      <c r="BT172">
        <v>1.722E-3</v>
      </c>
      <c r="BU172">
        <v>33.911327</v>
      </c>
      <c r="BV172">
        <v>7.8522040000000004</v>
      </c>
      <c r="BW172">
        <v>2.178083</v>
      </c>
      <c r="BX172">
        <v>279.34127799999999</v>
      </c>
      <c r="BY172">
        <v>168748.53125</v>
      </c>
      <c r="BZ172">
        <v>9.9579999999999998E-3</v>
      </c>
      <c r="CA172">
        <v>2020</v>
      </c>
      <c r="CB172">
        <v>3</v>
      </c>
      <c r="CC172">
        <v>4</v>
      </c>
      <c r="CD172">
        <v>4</v>
      </c>
      <c r="CE172">
        <v>1</v>
      </c>
      <c r="CF172">
        <v>32.950004999999997</v>
      </c>
      <c r="CG172">
        <v>2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3.1779000000000002E-2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25">
      <c r="A173">
        <v>172</v>
      </c>
      <c r="B173" t="s">
        <v>310</v>
      </c>
      <c r="C173">
        <v>58914.119060999998</v>
      </c>
      <c r="D173">
        <v>345.72589099999999</v>
      </c>
      <c r="E173" s="3" t="s">
        <v>154</v>
      </c>
      <c r="F173" s="3" t="s">
        <v>153</v>
      </c>
      <c r="G173">
        <v>0.59801599999999999</v>
      </c>
      <c r="H173">
        <v>184.187027</v>
      </c>
      <c r="I173">
        <v>14.345770999999999</v>
      </c>
      <c r="J173">
        <v>182.76754800000001</v>
      </c>
      <c r="K173">
        <v>12.437881000000001</v>
      </c>
      <c r="L173">
        <v>177.51071200000001</v>
      </c>
      <c r="M173">
        <v>12.495659</v>
      </c>
      <c r="N173">
        <v>26.840896999999998</v>
      </c>
      <c r="O173">
        <v>26.840896999999998</v>
      </c>
      <c r="P173">
        <v>24.520171999999999</v>
      </c>
      <c r="Q173">
        <v>34.468769000000002</v>
      </c>
      <c r="R173">
        <v>1.4777899999999999</v>
      </c>
      <c r="S173">
        <v>0.42746800000000001</v>
      </c>
      <c r="T173">
        <v>0.71073900000000001</v>
      </c>
      <c r="U173">
        <v>1.7971889999999999</v>
      </c>
      <c r="V173">
        <v>291.70782500000001</v>
      </c>
      <c r="W173">
        <v>345.72659299999998</v>
      </c>
      <c r="X173">
        <v>11.928008</v>
      </c>
      <c r="Y173" t="s">
        <v>114</v>
      </c>
      <c r="Z173">
        <v>-1</v>
      </c>
      <c r="AA173">
        <v>-1</v>
      </c>
      <c r="AB173">
        <v>1.6</v>
      </c>
      <c r="AC173">
        <v>3.74499</v>
      </c>
      <c r="AD173">
        <v>0.42</v>
      </c>
      <c r="AE173">
        <v>8.8529999999999998</v>
      </c>
      <c r="AF173">
        <v>0</v>
      </c>
      <c r="AG173">
        <v>357.45074499999998</v>
      </c>
      <c r="AH173">
        <v>75.558661999999998</v>
      </c>
      <c r="AI173">
        <v>240.943985</v>
      </c>
      <c r="AJ173">
        <v>22.343712</v>
      </c>
      <c r="AK173">
        <v>249.51788300000001</v>
      </c>
      <c r="AL173">
        <v>4.533652</v>
      </c>
      <c r="AM173">
        <v>126.613091</v>
      </c>
      <c r="AN173">
        <v>31.039878999999999</v>
      </c>
      <c r="AO173">
        <v>0.50235300000000005</v>
      </c>
      <c r="AP173">
        <v>50.199238000000001</v>
      </c>
      <c r="AQ173">
        <v>84.940574999999995</v>
      </c>
      <c r="AR173">
        <v>160.84970100000001</v>
      </c>
      <c r="AS173">
        <v>64.995902999999998</v>
      </c>
      <c r="AT173">
        <v>4.32742</v>
      </c>
      <c r="AU173">
        <v>253.16313199999999</v>
      </c>
      <c r="AV173">
        <v>3.6365189999999998</v>
      </c>
      <c r="AW173">
        <v>0.56265200000000004</v>
      </c>
      <c r="AX173">
        <v>50.251452999999998</v>
      </c>
      <c r="AY173">
        <v>76.386382999999995</v>
      </c>
      <c r="AZ173">
        <v>156.41873200000001</v>
      </c>
      <c r="BA173">
        <v>68.740898000000001</v>
      </c>
      <c r="BB173">
        <v>4.4502499999999996</v>
      </c>
      <c r="BC173">
        <v>11.273175999999999</v>
      </c>
      <c r="BD173">
        <v>215.95931999999999</v>
      </c>
      <c r="BE173">
        <v>49.383240000000001</v>
      </c>
      <c r="BF173">
        <v>49.324801999999998</v>
      </c>
      <c r="BG173">
        <v>47.047404999999998</v>
      </c>
      <c r="BH173">
        <v>22</v>
      </c>
      <c r="BI173">
        <v>18</v>
      </c>
      <c r="BJ173">
        <v>18.181818</v>
      </c>
      <c r="BK173">
        <v>54</v>
      </c>
      <c r="BL173">
        <v>1.687E-2</v>
      </c>
      <c r="BM173">
        <v>9.4900000000000002E-3</v>
      </c>
      <c r="BN173">
        <v>-1</v>
      </c>
      <c r="BO173">
        <v>3</v>
      </c>
      <c r="BP173">
        <v>1</v>
      </c>
      <c r="BQ173">
        <v>0.05</v>
      </c>
      <c r="BR173">
        <v>27.946646000000001</v>
      </c>
      <c r="BS173">
        <v>4.7759280000000004</v>
      </c>
      <c r="BT173">
        <v>1.052621</v>
      </c>
      <c r="BU173">
        <v>36.648074999999999</v>
      </c>
      <c r="BV173">
        <v>2.033887</v>
      </c>
      <c r="BW173">
        <v>2.355137</v>
      </c>
      <c r="BX173">
        <v>4.1652360000000002</v>
      </c>
      <c r="BY173">
        <v>53.680256</v>
      </c>
      <c r="BZ173">
        <v>0.39229199999999997</v>
      </c>
      <c r="CA173">
        <v>2020</v>
      </c>
      <c r="CB173">
        <v>3</v>
      </c>
      <c r="CC173">
        <v>6</v>
      </c>
      <c r="CD173">
        <v>2</v>
      </c>
      <c r="CE173">
        <v>51</v>
      </c>
      <c r="CF173">
        <v>26.880001</v>
      </c>
      <c r="CG173">
        <v>2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0.67668600000000001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</row>
    <row r="174" spans="1:105" x14ac:dyDescent="0.25">
      <c r="A174">
        <v>173</v>
      </c>
      <c r="B174" t="s">
        <v>311</v>
      </c>
      <c r="C174">
        <v>58914.128448000003</v>
      </c>
      <c r="D174">
        <v>345.73529100000002</v>
      </c>
      <c r="E174" s="3" t="s">
        <v>106</v>
      </c>
      <c r="F174" s="3" t="s">
        <v>125</v>
      </c>
      <c r="G174">
        <v>4.2056999999999997E-2</v>
      </c>
      <c r="H174">
        <v>229.84787</v>
      </c>
      <c r="I174">
        <v>22.677267000000001</v>
      </c>
      <c r="J174">
        <v>229.693817</v>
      </c>
      <c r="K174">
        <v>22.379753000000001</v>
      </c>
      <c r="L174">
        <v>219.640747</v>
      </c>
      <c r="M174">
        <v>39.035316000000002</v>
      </c>
      <c r="N174">
        <v>54.668109999999999</v>
      </c>
      <c r="O174">
        <v>54.668109999999999</v>
      </c>
      <c r="P174">
        <v>53.417667000000002</v>
      </c>
      <c r="Q174">
        <v>41.481029999999997</v>
      </c>
      <c r="R174">
        <v>13.099323999999999</v>
      </c>
      <c r="S174">
        <v>0.65093800000000002</v>
      </c>
      <c r="T174">
        <v>0.95030700000000001</v>
      </c>
      <c r="U174">
        <v>47.429447000000003</v>
      </c>
      <c r="V174">
        <v>252.88604699999999</v>
      </c>
      <c r="W174">
        <v>345.73525999999998</v>
      </c>
      <c r="X174">
        <v>95.972144999999998</v>
      </c>
      <c r="Y174" t="s">
        <v>114</v>
      </c>
      <c r="Z174">
        <v>-1</v>
      </c>
      <c r="AA174">
        <v>-1</v>
      </c>
      <c r="AB174">
        <v>1.2</v>
      </c>
      <c r="AC174">
        <v>1.8374699999999999</v>
      </c>
      <c r="AD174">
        <v>0.1</v>
      </c>
      <c r="AE174">
        <v>17.225000000000001</v>
      </c>
      <c r="AF174">
        <v>0</v>
      </c>
      <c r="AG174">
        <v>145.981415</v>
      </c>
      <c r="AH174">
        <v>-14.343681</v>
      </c>
      <c r="AI174">
        <v>299.47119099999998</v>
      </c>
      <c r="AJ174">
        <v>-22.103888999999999</v>
      </c>
      <c r="AK174">
        <v>89.786591000000001</v>
      </c>
      <c r="AL174">
        <v>65.331978000000007</v>
      </c>
      <c r="AM174">
        <v>333.51861600000001</v>
      </c>
      <c r="AN174">
        <v>35.247959000000002</v>
      </c>
      <c r="AO174">
        <v>-1.9062809999999999</v>
      </c>
      <c r="AP174">
        <v>52.045006000000001</v>
      </c>
      <c r="AQ174">
        <v>99.707320999999993</v>
      </c>
      <c r="AR174">
        <v>170.49452199999999</v>
      </c>
      <c r="AS174">
        <v>86.841849999999994</v>
      </c>
      <c r="AT174">
        <v>21.287945000000001</v>
      </c>
      <c r="AU174">
        <v>87.343681000000004</v>
      </c>
      <c r="AV174">
        <v>63.822830000000003</v>
      </c>
      <c r="AW174">
        <v>-1.9337009999999999</v>
      </c>
      <c r="AX174">
        <v>52.066799000000003</v>
      </c>
      <c r="AY174">
        <v>95.223052999999993</v>
      </c>
      <c r="AZ174">
        <v>170.39892599999999</v>
      </c>
      <c r="BA174">
        <v>88.679259999999999</v>
      </c>
      <c r="BB174">
        <v>21.300467999999999</v>
      </c>
      <c r="BC174">
        <v>5.4668109999999999</v>
      </c>
      <c r="BD174">
        <v>142.616409</v>
      </c>
      <c r="BE174">
        <v>56.268828999999997</v>
      </c>
      <c r="BF174">
        <v>57.483638999999997</v>
      </c>
      <c r="BG174">
        <v>57.269806000000003</v>
      </c>
      <c r="BH174">
        <v>6</v>
      </c>
      <c r="BI174">
        <v>5</v>
      </c>
      <c r="BJ174">
        <v>16.666665999999999</v>
      </c>
      <c r="BK174">
        <v>20</v>
      </c>
      <c r="BL174">
        <v>2.563E-2</v>
      </c>
      <c r="BM174">
        <v>1.321E-2</v>
      </c>
      <c r="BN174">
        <v>-1</v>
      </c>
      <c r="BO174">
        <v>3</v>
      </c>
      <c r="BP174">
        <v>1</v>
      </c>
      <c r="BQ174">
        <v>3.0003999999999999E-2</v>
      </c>
      <c r="BR174">
        <v>105.11901899999999</v>
      </c>
      <c r="BS174">
        <v>21.312656</v>
      </c>
      <c r="BT174">
        <v>0.52309600000000001</v>
      </c>
      <c r="BU174">
        <v>27.93854</v>
      </c>
      <c r="BV174">
        <v>3.636409</v>
      </c>
      <c r="BW174">
        <v>0.32979199999999997</v>
      </c>
      <c r="BX174">
        <v>4.1193809999999997</v>
      </c>
      <c r="BY174">
        <v>11.340071</v>
      </c>
      <c r="BZ174">
        <v>0.66524700000000003</v>
      </c>
      <c r="CA174">
        <v>2020</v>
      </c>
      <c r="CB174">
        <v>3</v>
      </c>
      <c r="CC174">
        <v>6</v>
      </c>
      <c r="CD174">
        <v>3</v>
      </c>
      <c r="CE174">
        <v>4</v>
      </c>
      <c r="CF174">
        <v>57.869999</v>
      </c>
      <c r="CG174">
        <v>2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7.6340000000000005E-2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</row>
    <row r="175" spans="1:105" x14ac:dyDescent="0.25">
      <c r="A175">
        <v>174</v>
      </c>
      <c r="B175" t="s">
        <v>312</v>
      </c>
      <c r="C175">
        <v>58914.152791</v>
      </c>
      <c r="D175">
        <v>345.75964399999998</v>
      </c>
      <c r="E175" s="3" t="s">
        <v>125</v>
      </c>
      <c r="F175" s="3" t="s">
        <v>106</v>
      </c>
      <c r="G175">
        <v>-2.0568930000000001</v>
      </c>
      <c r="H175">
        <v>282.21545400000002</v>
      </c>
      <c r="I175">
        <v>40.516182000000001</v>
      </c>
      <c r="J175">
        <v>282.88894699999997</v>
      </c>
      <c r="K175">
        <v>40.197871999999997</v>
      </c>
      <c r="L175">
        <v>291.77871699999997</v>
      </c>
      <c r="M175">
        <v>62.663531999999996</v>
      </c>
      <c r="N175">
        <v>41.850945000000003</v>
      </c>
      <c r="O175">
        <v>41.850945000000003</v>
      </c>
      <c r="P175">
        <v>40.126750999999999</v>
      </c>
      <c r="Q175">
        <v>40.322040999999999</v>
      </c>
      <c r="R175">
        <v>5.458539</v>
      </c>
      <c r="S175">
        <v>0.90677799999999997</v>
      </c>
      <c r="T175">
        <v>0.83387900000000004</v>
      </c>
      <c r="U175">
        <v>12.758198999999999</v>
      </c>
      <c r="V175">
        <v>144.18095400000001</v>
      </c>
      <c r="W175">
        <v>345.759705</v>
      </c>
      <c r="X175">
        <v>67.036689999999993</v>
      </c>
      <c r="Y175" t="s">
        <v>114</v>
      </c>
      <c r="Z175">
        <v>-1</v>
      </c>
      <c r="AA175">
        <v>-1</v>
      </c>
      <c r="AB175">
        <v>-1.1000000000000001</v>
      </c>
      <c r="AC175">
        <v>6.4442199999999996</v>
      </c>
      <c r="AD175">
        <v>0.42</v>
      </c>
      <c r="AE175">
        <v>15.47</v>
      </c>
      <c r="AF175">
        <v>0</v>
      </c>
      <c r="AG175">
        <v>17.722442999999998</v>
      </c>
      <c r="AH175">
        <v>6.4074179999999998</v>
      </c>
      <c r="AI175">
        <v>12.227183999999999</v>
      </c>
      <c r="AJ175">
        <v>-36.393470999999998</v>
      </c>
      <c r="AK175">
        <v>118.182014</v>
      </c>
      <c r="AL175">
        <v>58.259663000000003</v>
      </c>
      <c r="AM175">
        <v>318.75302099999999</v>
      </c>
      <c r="AN175">
        <v>37.970847999999997</v>
      </c>
      <c r="AO175">
        <v>-2.4973139999999998</v>
      </c>
      <c r="AP175">
        <v>52.688384999999997</v>
      </c>
      <c r="AQ175">
        <v>97.162064000000001</v>
      </c>
      <c r="AR175">
        <v>156.362854</v>
      </c>
      <c r="AS175">
        <v>80.328590000000005</v>
      </c>
      <c r="AT175">
        <v>17.987197999999999</v>
      </c>
      <c r="AU175">
        <v>115.968658</v>
      </c>
      <c r="AV175">
        <v>51.940162999999998</v>
      </c>
      <c r="AW175">
        <v>-2.6744979999999998</v>
      </c>
      <c r="AX175">
        <v>52.665790999999999</v>
      </c>
      <c r="AY175">
        <v>84.715721000000002</v>
      </c>
      <c r="AZ175">
        <v>154.38536099999999</v>
      </c>
      <c r="BA175">
        <v>86.772803999999994</v>
      </c>
      <c r="BB175">
        <v>18.225636000000002</v>
      </c>
      <c r="BC175">
        <v>17.577396</v>
      </c>
      <c r="BD175">
        <v>78.267830000000004</v>
      </c>
      <c r="BE175">
        <v>45.051814999999998</v>
      </c>
      <c r="BF175">
        <v>45.591800999999997</v>
      </c>
      <c r="BG175">
        <v>44.990993000000003</v>
      </c>
      <c r="BH175">
        <v>22</v>
      </c>
      <c r="BI175">
        <v>22</v>
      </c>
      <c r="BJ175">
        <v>0</v>
      </c>
      <c r="BK175">
        <v>20</v>
      </c>
      <c r="BL175">
        <v>3.1669999999999997E-2</v>
      </c>
      <c r="BM175">
        <v>1.6539999999999999E-2</v>
      </c>
      <c r="BN175">
        <v>-1</v>
      </c>
      <c r="BO175">
        <v>3</v>
      </c>
      <c r="BP175">
        <v>1</v>
      </c>
      <c r="BQ175">
        <v>9.0001999999999999E-2</v>
      </c>
      <c r="BR175">
        <v>105.113434</v>
      </c>
      <c r="BS175">
        <v>18.255604000000002</v>
      </c>
      <c r="BT175">
        <v>3.8499999999999998E-4</v>
      </c>
      <c r="BU175">
        <v>78.667145000000005</v>
      </c>
      <c r="BV175">
        <v>1.7436389999999999</v>
      </c>
      <c r="BW175">
        <v>0.603912</v>
      </c>
      <c r="BX175">
        <v>1.5129010000000001</v>
      </c>
      <c r="BY175">
        <v>4.8372590000000004</v>
      </c>
      <c r="BZ175">
        <v>0.85131999999999997</v>
      </c>
      <c r="CA175">
        <v>2020</v>
      </c>
      <c r="CB175">
        <v>3</v>
      </c>
      <c r="CC175">
        <v>6</v>
      </c>
      <c r="CD175">
        <v>3</v>
      </c>
      <c r="CE175">
        <v>40</v>
      </c>
      <c r="CF175">
        <v>1.159999</v>
      </c>
      <c r="CG175">
        <v>2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0.183199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</row>
    <row r="176" spans="1:105" x14ac:dyDescent="0.25">
      <c r="A176">
        <v>175</v>
      </c>
      <c r="B176" t="s">
        <v>313</v>
      </c>
      <c r="C176">
        <v>58914.217400000001</v>
      </c>
      <c r="D176">
        <v>345.82431000000003</v>
      </c>
      <c r="E176" s="2" t="s">
        <v>111</v>
      </c>
      <c r="F176" s="2" t="s">
        <v>110</v>
      </c>
      <c r="G176">
        <v>-0.35309699999999999</v>
      </c>
      <c r="H176">
        <v>250.031036</v>
      </c>
      <c r="I176">
        <v>71.161743000000001</v>
      </c>
      <c r="J176">
        <v>248.670547</v>
      </c>
      <c r="K176">
        <v>72.208716999999993</v>
      </c>
      <c r="L176">
        <v>133.38826</v>
      </c>
      <c r="M176">
        <v>80.689353999999994</v>
      </c>
      <c r="N176">
        <v>26.243458</v>
      </c>
      <c r="O176">
        <v>26.243458</v>
      </c>
      <c r="P176">
        <v>23.729745999999999</v>
      </c>
      <c r="Q176">
        <v>39.806334999999997</v>
      </c>
      <c r="R176">
        <v>4.352627</v>
      </c>
      <c r="S176">
        <v>0.98646800000000001</v>
      </c>
      <c r="T176">
        <v>0.77336300000000002</v>
      </c>
      <c r="U176">
        <v>9.0845190000000002</v>
      </c>
      <c r="V176">
        <v>189.26599100000001</v>
      </c>
      <c r="W176">
        <v>345.824524</v>
      </c>
      <c r="X176">
        <v>36.140433999999999</v>
      </c>
      <c r="Y176" t="s">
        <v>114</v>
      </c>
      <c r="Z176">
        <v>-1</v>
      </c>
      <c r="AA176">
        <v>-1</v>
      </c>
      <c r="AB176">
        <v>0.4</v>
      </c>
      <c r="AC176">
        <v>1.0415890000000001</v>
      </c>
      <c r="AD176">
        <v>0.18</v>
      </c>
      <c r="AE176">
        <v>5.7220000000000004</v>
      </c>
      <c r="AF176">
        <v>0</v>
      </c>
      <c r="AG176">
        <v>127.849228</v>
      </c>
      <c r="AH176">
        <v>10.298921</v>
      </c>
      <c r="AI176">
        <v>83.669601</v>
      </c>
      <c r="AJ176">
        <v>-4.586957</v>
      </c>
      <c r="AK176">
        <v>6.8985589999999997</v>
      </c>
      <c r="AL176">
        <v>70.540771000000007</v>
      </c>
      <c r="AM176">
        <v>19.912534999999998</v>
      </c>
      <c r="AN176">
        <v>37.679519999999997</v>
      </c>
      <c r="AO176">
        <v>-0.46074100000000001</v>
      </c>
      <c r="AP176">
        <v>51.885306999999997</v>
      </c>
      <c r="AQ176">
        <v>88.784064999999998</v>
      </c>
      <c r="AR176">
        <v>143.43675200000001</v>
      </c>
      <c r="AS176">
        <v>32.460793000000002</v>
      </c>
      <c r="AT176">
        <v>32.455970999999998</v>
      </c>
      <c r="AU176">
        <v>8.5064440000000001</v>
      </c>
      <c r="AV176">
        <v>69.654503000000005</v>
      </c>
      <c r="AW176">
        <v>-0.46371699999999999</v>
      </c>
      <c r="AX176">
        <v>51.871245999999999</v>
      </c>
      <c r="AY176">
        <v>84.334084000000004</v>
      </c>
      <c r="AZ176">
        <v>139.47403</v>
      </c>
      <c r="BA176">
        <v>33.502380000000002</v>
      </c>
      <c r="BB176">
        <v>33.497363999999997</v>
      </c>
      <c r="BC176">
        <v>4.7238230000000003</v>
      </c>
      <c r="BD176">
        <v>7.5131189999999997</v>
      </c>
      <c r="BE176">
        <v>70.445305000000005</v>
      </c>
      <c r="BF176">
        <v>69.460999000000001</v>
      </c>
      <c r="BG176">
        <v>68.547348</v>
      </c>
      <c r="BH176">
        <v>10</v>
      </c>
      <c r="BI176">
        <v>10</v>
      </c>
      <c r="BJ176">
        <v>0</v>
      </c>
      <c r="BK176">
        <v>49</v>
      </c>
      <c r="BL176">
        <v>2.1059999999999999E-2</v>
      </c>
      <c r="BM176">
        <v>5.2900000000000004E-3</v>
      </c>
      <c r="BN176">
        <v>-1</v>
      </c>
      <c r="BO176">
        <v>3</v>
      </c>
      <c r="BP176">
        <v>1</v>
      </c>
      <c r="BQ176">
        <v>0.29999799999999999</v>
      </c>
      <c r="BR176">
        <v>105.12027</v>
      </c>
      <c r="BS176">
        <v>89.068534999999997</v>
      </c>
      <c r="BT176">
        <v>1.364E-3</v>
      </c>
      <c r="BU176">
        <v>26.818369000000001</v>
      </c>
      <c r="BV176">
        <v>0.85369899999999999</v>
      </c>
      <c r="BW176">
        <v>1.1308279999999999</v>
      </c>
      <c r="BX176">
        <v>0.73129100000000002</v>
      </c>
      <c r="BY176">
        <v>1.3250470000000001</v>
      </c>
      <c r="BZ176">
        <v>0.95624799999999999</v>
      </c>
      <c r="CA176">
        <v>2020</v>
      </c>
      <c r="CB176">
        <v>3</v>
      </c>
      <c r="CC176">
        <v>6</v>
      </c>
      <c r="CD176">
        <v>5</v>
      </c>
      <c r="CE176">
        <v>13</v>
      </c>
      <c r="CF176">
        <v>3.330003</v>
      </c>
      <c r="CG176">
        <v>2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0.22974600000000001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</row>
    <row r="177" spans="1:105" x14ac:dyDescent="0.25">
      <c r="A177">
        <v>176</v>
      </c>
      <c r="B177" t="s">
        <v>314</v>
      </c>
      <c r="C177">
        <v>58914.217805</v>
      </c>
      <c r="D177">
        <v>345.82473800000002</v>
      </c>
      <c r="E177" s="2" t="s">
        <v>111</v>
      </c>
      <c r="F177" s="2" t="s">
        <v>110</v>
      </c>
      <c r="G177">
        <v>-3.7290939999999999</v>
      </c>
      <c r="H177">
        <v>251.30239900000001</v>
      </c>
      <c r="I177">
        <v>26.049178999999999</v>
      </c>
      <c r="J177">
        <v>251.02578700000001</v>
      </c>
      <c r="K177">
        <v>25.792307000000001</v>
      </c>
      <c r="L177">
        <v>244.294861</v>
      </c>
      <c r="M177">
        <v>47.550055999999998</v>
      </c>
      <c r="N177">
        <v>55.310833000000002</v>
      </c>
      <c r="O177">
        <v>55.310833000000002</v>
      </c>
      <c r="P177">
        <v>54.125625999999997</v>
      </c>
      <c r="Q177">
        <v>40.935527999999998</v>
      </c>
      <c r="R177">
        <v>7.8756950000000003</v>
      </c>
      <c r="S177">
        <v>0.96225700000000003</v>
      </c>
      <c r="T177">
        <v>0.87781900000000002</v>
      </c>
      <c r="U177">
        <v>22.110983000000001</v>
      </c>
      <c r="V177">
        <v>200.670975</v>
      </c>
      <c r="W177">
        <v>345.82470699999999</v>
      </c>
      <c r="X177">
        <v>98.244872999999998</v>
      </c>
      <c r="Y177" t="s">
        <v>114</v>
      </c>
      <c r="Z177">
        <v>-1</v>
      </c>
      <c r="AA177">
        <v>-1</v>
      </c>
      <c r="AB177">
        <v>-2.2999999999999998</v>
      </c>
      <c r="AC177">
        <v>4.8140489999999998</v>
      </c>
      <c r="AD177">
        <v>0.3</v>
      </c>
      <c r="AE177">
        <v>16.073</v>
      </c>
      <c r="AF177">
        <v>0</v>
      </c>
      <c r="AG177">
        <v>142.42448400000001</v>
      </c>
      <c r="AH177">
        <v>33.502110000000002</v>
      </c>
      <c r="AI177">
        <v>283.35681199999999</v>
      </c>
      <c r="AJ177">
        <v>-9.7840900000000008</v>
      </c>
      <c r="AK177">
        <v>351.72824100000003</v>
      </c>
      <c r="AL177">
        <v>52.798904</v>
      </c>
      <c r="AM177">
        <v>40.442425</v>
      </c>
      <c r="AN177">
        <v>29.231414999999998</v>
      </c>
      <c r="AO177">
        <v>0.57147599999999998</v>
      </c>
      <c r="AP177">
        <v>52.072978999999997</v>
      </c>
      <c r="AQ177">
        <v>97.590384999999998</v>
      </c>
      <c r="AR177">
        <v>194.865173</v>
      </c>
      <c r="AS177">
        <v>75.434494000000001</v>
      </c>
      <c r="AT177">
        <v>27.132566000000001</v>
      </c>
      <c r="AU177">
        <v>358.66455100000002</v>
      </c>
      <c r="AV177">
        <v>50.624046</v>
      </c>
      <c r="AW177">
        <v>0.54186999999999996</v>
      </c>
      <c r="AX177">
        <v>52.136142999999997</v>
      </c>
      <c r="AY177">
        <v>82.770720999999995</v>
      </c>
      <c r="AZ177">
        <v>191.367279</v>
      </c>
      <c r="BA177">
        <v>80.248542999999998</v>
      </c>
      <c r="BB177">
        <v>27.670538000000001</v>
      </c>
      <c r="BC177">
        <v>16.593250000000001</v>
      </c>
      <c r="BD177">
        <v>163.62460300000001</v>
      </c>
      <c r="BE177">
        <v>63.226467</v>
      </c>
      <c r="BF177">
        <v>63.992348</v>
      </c>
      <c r="BG177">
        <v>63.801532999999999</v>
      </c>
      <c r="BH177">
        <v>16</v>
      </c>
      <c r="BI177">
        <v>16</v>
      </c>
      <c r="BJ177">
        <v>0</v>
      </c>
      <c r="BK177">
        <v>54</v>
      </c>
      <c r="BL177">
        <v>2.0580000000000001E-2</v>
      </c>
      <c r="BM177">
        <v>6.4900000000000001E-3</v>
      </c>
      <c r="BN177">
        <v>-1</v>
      </c>
      <c r="BO177">
        <v>3</v>
      </c>
      <c r="BP177">
        <v>1</v>
      </c>
      <c r="BQ177">
        <v>0.34999799999999998</v>
      </c>
      <c r="BR177">
        <v>105.11901899999999</v>
      </c>
      <c r="BS177">
        <v>28.111874</v>
      </c>
      <c r="BT177">
        <v>1.3550000000000001E-3</v>
      </c>
      <c r="BU177">
        <v>85.171227000000002</v>
      </c>
      <c r="BV177">
        <v>1.315283</v>
      </c>
      <c r="BW177">
        <v>0.35759800000000003</v>
      </c>
      <c r="BX177">
        <v>0.78546700000000003</v>
      </c>
      <c r="BY177">
        <v>1.691408</v>
      </c>
      <c r="BZ177">
        <v>0.945303</v>
      </c>
      <c r="CA177">
        <v>2020</v>
      </c>
      <c r="CB177">
        <v>3</v>
      </c>
      <c r="CC177">
        <v>6</v>
      </c>
      <c r="CD177">
        <v>5</v>
      </c>
      <c r="CE177">
        <v>13</v>
      </c>
      <c r="CF177">
        <v>38.359997</v>
      </c>
      <c r="CG177">
        <v>2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0.126973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</row>
    <row r="178" spans="1:105" x14ac:dyDescent="0.25">
      <c r="A178">
        <v>177</v>
      </c>
      <c r="B178" t="s">
        <v>315</v>
      </c>
      <c r="C178">
        <v>58914.971367999999</v>
      </c>
      <c r="D178">
        <v>346.57876599999997</v>
      </c>
      <c r="E178" s="2" t="s">
        <v>111</v>
      </c>
      <c r="F178" s="2" t="s">
        <v>110</v>
      </c>
      <c r="G178">
        <v>-1.0845050000000001</v>
      </c>
      <c r="H178">
        <v>315.17163099999999</v>
      </c>
      <c r="I178">
        <v>54.020671999999998</v>
      </c>
      <c r="J178">
        <v>317.77685500000001</v>
      </c>
      <c r="K178">
        <v>49.677504999999996</v>
      </c>
      <c r="L178">
        <v>348.70107999999999</v>
      </c>
      <c r="M178">
        <v>60.747318</v>
      </c>
      <c r="N178">
        <v>25.182047000000001</v>
      </c>
      <c r="O178">
        <v>25.182047000000001</v>
      </c>
      <c r="P178">
        <v>22.504868999999999</v>
      </c>
      <c r="Q178">
        <v>37.958210000000001</v>
      </c>
      <c r="R178">
        <v>2.5551710000000001</v>
      </c>
      <c r="S178">
        <v>0.87794499999999998</v>
      </c>
      <c r="T178">
        <v>0.65640500000000002</v>
      </c>
      <c r="U178">
        <v>4.0860589999999997</v>
      </c>
      <c r="V178">
        <v>135.16831999999999</v>
      </c>
      <c r="W178">
        <v>346.578979</v>
      </c>
      <c r="X178">
        <v>32.852654000000001</v>
      </c>
      <c r="Y178" t="s">
        <v>114</v>
      </c>
      <c r="Z178">
        <v>-1</v>
      </c>
      <c r="AA178">
        <v>-1</v>
      </c>
      <c r="AB178">
        <v>0.4</v>
      </c>
      <c r="AC178">
        <v>7.4058510000000002</v>
      </c>
      <c r="AD178">
        <v>1.92</v>
      </c>
      <c r="AE178">
        <v>3.673</v>
      </c>
      <c r="AF178">
        <v>0</v>
      </c>
      <c r="AG178">
        <v>130.99231</v>
      </c>
      <c r="AH178">
        <v>35.906829999999999</v>
      </c>
      <c r="AI178">
        <v>80.976005999999998</v>
      </c>
      <c r="AJ178">
        <v>-7.5864779999999996</v>
      </c>
      <c r="AK178">
        <v>271.49676499999998</v>
      </c>
      <c r="AL178">
        <v>46.823256999999998</v>
      </c>
      <c r="AM178">
        <v>40.542717000000003</v>
      </c>
      <c r="AN178">
        <v>21.412154999999998</v>
      </c>
      <c r="AO178">
        <v>0.89768400000000004</v>
      </c>
      <c r="AP178">
        <v>52.296180999999997</v>
      </c>
      <c r="AQ178">
        <v>83.377335000000002</v>
      </c>
      <c r="AR178">
        <v>218.66194200000001</v>
      </c>
      <c r="AS178">
        <v>28.251674999999999</v>
      </c>
      <c r="AT178">
        <v>2.9095300000000002</v>
      </c>
      <c r="AU178">
        <v>262.85565200000002</v>
      </c>
      <c r="AV178">
        <v>42.666305999999999</v>
      </c>
      <c r="AW178">
        <v>0.75428700000000004</v>
      </c>
      <c r="AX178">
        <v>51.89584</v>
      </c>
      <c r="AY178">
        <v>68.852997000000002</v>
      </c>
      <c r="AZ178">
        <v>177.55311599999999</v>
      </c>
      <c r="BA178">
        <v>35.657527999999999</v>
      </c>
      <c r="BB178">
        <v>3.5839699999999999</v>
      </c>
      <c r="BC178">
        <v>48.349528999999997</v>
      </c>
      <c r="BD178">
        <v>12.401432</v>
      </c>
      <c r="BE178">
        <v>17.746732999999999</v>
      </c>
      <c r="BF178">
        <v>16.174938000000001</v>
      </c>
      <c r="BG178">
        <v>11.605998</v>
      </c>
      <c r="BH178">
        <v>97</v>
      </c>
      <c r="BI178">
        <v>90</v>
      </c>
      <c r="BJ178">
        <v>7.2164950000000001</v>
      </c>
      <c r="BK178">
        <v>79</v>
      </c>
      <c r="BL178">
        <v>2.2970000000000001E-2</v>
      </c>
      <c r="BM178">
        <v>1.324E-2</v>
      </c>
      <c r="BN178">
        <v>-1</v>
      </c>
      <c r="BO178">
        <v>3</v>
      </c>
      <c r="BP178">
        <v>1</v>
      </c>
      <c r="BQ178">
        <v>3.9992E-2</v>
      </c>
      <c r="BR178">
        <v>105.11901899999999</v>
      </c>
      <c r="BS178">
        <v>6.1559359999999996</v>
      </c>
      <c r="BT178">
        <v>1.74E-4</v>
      </c>
      <c r="BU178">
        <v>60.868153</v>
      </c>
      <c r="BV178">
        <v>0.162187</v>
      </c>
      <c r="BW178">
        <v>4.6309300000000002</v>
      </c>
      <c r="BX178">
        <v>1.091699</v>
      </c>
      <c r="BY178">
        <v>17.464022</v>
      </c>
      <c r="BZ178">
        <v>0.638185</v>
      </c>
      <c r="CA178">
        <v>2020</v>
      </c>
      <c r="CB178">
        <v>3</v>
      </c>
      <c r="CC178">
        <v>6</v>
      </c>
      <c r="CD178">
        <v>23</v>
      </c>
      <c r="CE178">
        <v>18</v>
      </c>
      <c r="CF178">
        <v>46.220005</v>
      </c>
      <c r="CG178">
        <v>2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0.39136300000000002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</row>
    <row r="179" spans="1:105" x14ac:dyDescent="0.25">
      <c r="A179">
        <v>178</v>
      </c>
      <c r="B179" t="s">
        <v>316</v>
      </c>
      <c r="C179">
        <v>58914.987829999998</v>
      </c>
      <c r="D179">
        <v>346.59524499999998</v>
      </c>
      <c r="E179" s="2" t="s">
        <v>111</v>
      </c>
      <c r="F179" s="2" t="s">
        <v>110</v>
      </c>
      <c r="G179">
        <v>-1.3914679999999999</v>
      </c>
      <c r="H179">
        <v>195.86947599999999</v>
      </c>
      <c r="I179">
        <v>13.763854</v>
      </c>
      <c r="J179">
        <v>196.18145799999999</v>
      </c>
      <c r="K179">
        <v>12.436773000000001</v>
      </c>
      <c r="L179">
        <v>189.92085299999999</v>
      </c>
      <c r="M179">
        <v>17.808392999999999</v>
      </c>
      <c r="N179">
        <v>32.480392000000002</v>
      </c>
      <c r="O179">
        <v>32.480392000000002</v>
      </c>
      <c r="P179">
        <v>30.318089000000001</v>
      </c>
      <c r="Q179">
        <v>33.320793000000002</v>
      </c>
      <c r="R179">
        <v>1.3089649999999999</v>
      </c>
      <c r="S179">
        <v>0.26618199999999997</v>
      </c>
      <c r="T179">
        <v>0.79664699999999999</v>
      </c>
      <c r="U179">
        <v>1.4981899999999999</v>
      </c>
      <c r="V179">
        <v>310.56405599999999</v>
      </c>
      <c r="W179">
        <v>346.59548999999998</v>
      </c>
      <c r="X179">
        <v>26.535119999999999</v>
      </c>
      <c r="Y179" t="s">
        <v>114</v>
      </c>
      <c r="Z179">
        <v>-1</v>
      </c>
      <c r="AA179">
        <v>-1</v>
      </c>
      <c r="AB179">
        <v>0.5</v>
      </c>
      <c r="AC179">
        <v>5.3545699999999998</v>
      </c>
      <c r="AD179">
        <v>0.72</v>
      </c>
      <c r="AE179">
        <v>7.5179999999999998</v>
      </c>
      <c r="AF179">
        <v>0</v>
      </c>
      <c r="AG179">
        <v>90.439612999999994</v>
      </c>
      <c r="AH179">
        <v>47.364852999999997</v>
      </c>
      <c r="AI179">
        <v>312.25839200000001</v>
      </c>
      <c r="AJ179">
        <v>-26.845789</v>
      </c>
      <c r="AK179">
        <v>271.174194</v>
      </c>
      <c r="AL179">
        <v>42.632801000000001</v>
      </c>
      <c r="AM179">
        <v>47.053466999999998</v>
      </c>
      <c r="AN179">
        <v>20.824781000000002</v>
      </c>
      <c r="AO179">
        <v>1.3800030000000001</v>
      </c>
      <c r="AP179">
        <v>52.282524000000002</v>
      </c>
      <c r="AQ179">
        <v>90.578772999999998</v>
      </c>
      <c r="AR179">
        <v>242.43277</v>
      </c>
      <c r="AS179">
        <v>69.975776999999994</v>
      </c>
      <c r="AT179">
        <v>14.202071</v>
      </c>
      <c r="AU179">
        <v>278.42880200000002</v>
      </c>
      <c r="AV179">
        <v>42.356808000000001</v>
      </c>
      <c r="AW179">
        <v>1.197011</v>
      </c>
      <c r="AX179">
        <v>52.384456999999998</v>
      </c>
      <c r="AY179">
        <v>74.639809</v>
      </c>
      <c r="AZ179">
        <v>235.45253</v>
      </c>
      <c r="BA179">
        <v>75.330353000000002</v>
      </c>
      <c r="BB179">
        <v>14.63236</v>
      </c>
      <c r="BC179">
        <v>23.385884999999998</v>
      </c>
      <c r="BD179">
        <v>132.25451699999999</v>
      </c>
      <c r="BE179">
        <v>42.830658</v>
      </c>
      <c r="BF179">
        <v>42.566367999999997</v>
      </c>
      <c r="BG179">
        <v>41.266758000000003</v>
      </c>
      <c r="BH179">
        <v>37</v>
      </c>
      <c r="BI179">
        <v>31</v>
      </c>
      <c r="BJ179">
        <v>16.216217</v>
      </c>
      <c r="BK179">
        <v>79</v>
      </c>
      <c r="BL179">
        <v>1.823E-2</v>
      </c>
      <c r="BM179">
        <v>1.141E-2</v>
      </c>
      <c r="BN179">
        <v>-1</v>
      </c>
      <c r="BO179">
        <v>3</v>
      </c>
      <c r="BP179">
        <v>1</v>
      </c>
      <c r="BQ179">
        <v>9.9999000000000005E-2</v>
      </c>
      <c r="BR179">
        <v>105.11901899999999</v>
      </c>
      <c r="BS179">
        <v>15.137013</v>
      </c>
      <c r="BT179">
        <v>3.5399999999999999E-4</v>
      </c>
      <c r="BU179">
        <v>51.679760000000002</v>
      </c>
      <c r="BV179">
        <v>0.60823799999999995</v>
      </c>
      <c r="BW179">
        <v>1.3614219999999999</v>
      </c>
      <c r="BX179">
        <v>1.0832109999999999</v>
      </c>
      <c r="BY179">
        <v>4.2879750000000003</v>
      </c>
      <c r="BZ179">
        <v>0.839588</v>
      </c>
      <c r="CA179">
        <v>2020</v>
      </c>
      <c r="CB179">
        <v>3</v>
      </c>
      <c r="CC179">
        <v>6</v>
      </c>
      <c r="CD179">
        <v>23</v>
      </c>
      <c r="CE179">
        <v>42</v>
      </c>
      <c r="CF179">
        <v>28.469996999999999</v>
      </c>
      <c r="CG179">
        <v>2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0.76396200000000003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</row>
    <row r="180" spans="1:105" x14ac:dyDescent="0.25">
      <c r="A180">
        <v>179</v>
      </c>
      <c r="B180" t="s">
        <v>317</v>
      </c>
      <c r="C180">
        <v>58916.991827999998</v>
      </c>
      <c r="D180">
        <v>348.59896900000001</v>
      </c>
      <c r="E180" s="3" t="s">
        <v>111</v>
      </c>
      <c r="F180" s="3" t="s">
        <v>110</v>
      </c>
      <c r="G180">
        <v>-0.98492800000000003</v>
      </c>
      <c r="H180">
        <v>193.438614</v>
      </c>
      <c r="I180">
        <v>-0.29864400000000002</v>
      </c>
      <c r="J180">
        <v>193.467331</v>
      </c>
      <c r="K180">
        <v>-1.227492</v>
      </c>
      <c r="L180">
        <v>192.870148</v>
      </c>
      <c r="M180">
        <v>4.1836019999999996</v>
      </c>
      <c r="N180">
        <v>45.405681999999999</v>
      </c>
      <c r="O180">
        <v>45.405681999999999</v>
      </c>
      <c r="P180">
        <v>43.856262000000001</v>
      </c>
      <c r="Q180">
        <v>41.331043000000001</v>
      </c>
      <c r="R180">
        <v>11.254799999999999</v>
      </c>
      <c r="S180">
        <v>8.6051000000000002E-2</v>
      </c>
      <c r="T180">
        <v>0.99235399999999996</v>
      </c>
      <c r="U180">
        <v>37.772990999999998</v>
      </c>
      <c r="V180">
        <v>326.479736</v>
      </c>
      <c r="W180">
        <v>348.599243</v>
      </c>
      <c r="X180">
        <v>14.927872000000001</v>
      </c>
      <c r="Y180" t="s">
        <v>114</v>
      </c>
      <c r="Z180">
        <v>-1</v>
      </c>
      <c r="AA180">
        <v>-1</v>
      </c>
      <c r="AB180">
        <v>0.1</v>
      </c>
      <c r="AC180">
        <v>3.1548720000000001</v>
      </c>
      <c r="AD180">
        <v>0.2</v>
      </c>
      <c r="AE180">
        <v>15.906000000000001</v>
      </c>
      <c r="AF180">
        <v>0</v>
      </c>
      <c r="AG180">
        <v>103.61158</v>
      </c>
      <c r="AH180">
        <v>30.077724</v>
      </c>
      <c r="AI180">
        <v>299.12881499999997</v>
      </c>
      <c r="AJ180">
        <v>-20.806442000000001</v>
      </c>
      <c r="AK180">
        <v>275.22915599999999</v>
      </c>
      <c r="AL180">
        <v>59.654682000000001</v>
      </c>
      <c r="AM180">
        <v>34.081164999999999</v>
      </c>
      <c r="AN180">
        <v>33.389046</v>
      </c>
      <c r="AO180">
        <v>8.7876999999999997E-2</v>
      </c>
      <c r="AP180">
        <v>51.946533000000002</v>
      </c>
      <c r="AQ180">
        <v>92.457344000000006</v>
      </c>
      <c r="AR180">
        <v>164.99316400000001</v>
      </c>
      <c r="AS180">
        <v>86.121498000000003</v>
      </c>
      <c r="AT180">
        <v>6.9190199999999997</v>
      </c>
      <c r="AU180">
        <v>281.479828</v>
      </c>
      <c r="AV180">
        <v>59.905071</v>
      </c>
      <c r="AW180">
        <v>2.4331999999999999E-2</v>
      </c>
      <c r="AX180">
        <v>52.001995000000001</v>
      </c>
      <c r="AY180">
        <v>87.610512</v>
      </c>
      <c r="AZ180">
        <v>164.628387</v>
      </c>
      <c r="BA180">
        <v>89.276366999999993</v>
      </c>
      <c r="BB180">
        <v>6.9344270000000003</v>
      </c>
      <c r="BC180">
        <v>9.081137</v>
      </c>
      <c r="BD180">
        <v>144.57092299999999</v>
      </c>
      <c r="BE180">
        <v>32.094807000000003</v>
      </c>
      <c r="BF180">
        <v>32.499741</v>
      </c>
      <c r="BG180">
        <v>31.628737999999998</v>
      </c>
      <c r="BH180">
        <v>11</v>
      </c>
      <c r="BI180">
        <v>11</v>
      </c>
      <c r="BJ180">
        <v>0</v>
      </c>
      <c r="BK180">
        <v>81</v>
      </c>
      <c r="BL180">
        <v>2.3779999999999999E-2</v>
      </c>
      <c r="BM180">
        <v>1.0699999999999999E-2</v>
      </c>
      <c r="BN180">
        <v>-1</v>
      </c>
      <c r="BO180">
        <v>3</v>
      </c>
      <c r="BP180">
        <v>1</v>
      </c>
      <c r="BQ180">
        <v>1.040006</v>
      </c>
      <c r="BR180">
        <v>105.11901899999999</v>
      </c>
      <c r="BS180">
        <v>6.9349809999999996</v>
      </c>
      <c r="BT180">
        <v>4.1939999999999998E-3</v>
      </c>
      <c r="BU180">
        <v>20.965357000000001</v>
      </c>
      <c r="BV180">
        <v>2.979063</v>
      </c>
      <c r="BW180">
        <v>0.92929200000000001</v>
      </c>
      <c r="BX180">
        <v>6.329307</v>
      </c>
      <c r="BY180">
        <v>52.423855000000003</v>
      </c>
      <c r="BZ180">
        <v>0.41543600000000003</v>
      </c>
      <c r="CA180">
        <v>2020</v>
      </c>
      <c r="CB180">
        <v>3</v>
      </c>
      <c r="CC180">
        <v>8</v>
      </c>
      <c r="CD180">
        <v>23</v>
      </c>
      <c r="CE180">
        <v>48</v>
      </c>
      <c r="CF180">
        <v>13.909996</v>
      </c>
      <c r="CG180">
        <v>2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8.8850999999999999E-2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</row>
    <row r="181" spans="1:105" x14ac:dyDescent="0.25">
      <c r="A181">
        <v>180</v>
      </c>
      <c r="B181" t="s">
        <v>318</v>
      </c>
      <c r="C181">
        <v>58920.139131000004</v>
      </c>
      <c r="D181">
        <v>351.74145499999997</v>
      </c>
      <c r="E181" s="3" t="s">
        <v>111</v>
      </c>
      <c r="F181" s="3" t="s">
        <v>110</v>
      </c>
      <c r="G181">
        <v>-0.77750300000000006</v>
      </c>
      <c r="H181">
        <v>270.777039</v>
      </c>
      <c r="I181">
        <v>9.1515590000000007</v>
      </c>
      <c r="J181">
        <v>270.86105300000003</v>
      </c>
      <c r="K181">
        <v>8.8007019999999994</v>
      </c>
      <c r="L181">
        <v>271.00595099999998</v>
      </c>
      <c r="M181">
        <v>32.234352000000001</v>
      </c>
      <c r="N181">
        <v>67.985596000000001</v>
      </c>
      <c r="O181">
        <v>67.985596000000001</v>
      </c>
      <c r="P181">
        <v>66.830948000000006</v>
      </c>
      <c r="Q181">
        <v>45.052357000000001</v>
      </c>
      <c r="R181">
        <v>-3.6335480000000002</v>
      </c>
      <c r="S181">
        <v>0.95344499999999999</v>
      </c>
      <c r="T181">
        <v>1.2624</v>
      </c>
      <c r="U181">
        <v>0</v>
      </c>
      <c r="V181">
        <v>158.04203799999999</v>
      </c>
      <c r="W181">
        <v>351.74142499999999</v>
      </c>
      <c r="X181">
        <v>125.932716</v>
      </c>
      <c r="Y181" t="s">
        <v>114</v>
      </c>
      <c r="Z181">
        <v>-1</v>
      </c>
      <c r="AA181">
        <v>-1</v>
      </c>
      <c r="AB181">
        <v>1.7</v>
      </c>
      <c r="AC181">
        <v>1.479813</v>
      </c>
      <c r="AD181">
        <v>0.12</v>
      </c>
      <c r="AE181">
        <v>11.234999999999999</v>
      </c>
      <c r="AF181">
        <v>0</v>
      </c>
      <c r="AG181">
        <v>173.620193</v>
      </c>
      <c r="AH181">
        <v>37.716952999999997</v>
      </c>
      <c r="AI181">
        <v>325.77420000000001</v>
      </c>
      <c r="AJ181">
        <v>-31.384573</v>
      </c>
      <c r="AK181">
        <v>358.12402300000002</v>
      </c>
      <c r="AL181">
        <v>52.207047000000003</v>
      </c>
      <c r="AM181">
        <v>25.037317000000002</v>
      </c>
      <c r="AN181">
        <v>18.875268999999999</v>
      </c>
      <c r="AO181">
        <v>0.84647300000000003</v>
      </c>
      <c r="AP181">
        <v>53.300190000000001</v>
      </c>
      <c r="AQ181">
        <v>108.199371</v>
      </c>
      <c r="AR181">
        <v>313.52139299999999</v>
      </c>
      <c r="AS181">
        <v>81.159308999999993</v>
      </c>
      <c r="AT181">
        <v>1.5593619999999999</v>
      </c>
      <c r="AU181">
        <v>0.52827599999999997</v>
      </c>
      <c r="AV181">
        <v>52.090462000000002</v>
      </c>
      <c r="AW181">
        <v>0.75609599999999999</v>
      </c>
      <c r="AX181">
        <v>53.330536000000002</v>
      </c>
      <c r="AY181">
        <v>104.055115</v>
      </c>
      <c r="AZ181">
        <v>312.41561899999999</v>
      </c>
      <c r="BA181">
        <v>82.639122</v>
      </c>
      <c r="BB181">
        <v>1.564883</v>
      </c>
      <c r="BC181">
        <v>8.1582709999999992</v>
      </c>
      <c r="BD181">
        <v>118.833023</v>
      </c>
      <c r="BE181">
        <v>30.532371999999999</v>
      </c>
      <c r="BF181">
        <v>30.598019000000001</v>
      </c>
      <c r="BG181">
        <v>30.262824999999999</v>
      </c>
      <c r="BH181">
        <v>7</v>
      </c>
      <c r="BI181">
        <v>4</v>
      </c>
      <c r="BJ181">
        <v>42.857143000000001</v>
      </c>
      <c r="BK181">
        <v>94</v>
      </c>
      <c r="BL181">
        <v>2.3210000000000001E-2</v>
      </c>
      <c r="BM181">
        <v>9.6699999999999998E-3</v>
      </c>
      <c r="BN181">
        <v>-1</v>
      </c>
      <c r="BO181">
        <v>3</v>
      </c>
      <c r="BP181">
        <v>1</v>
      </c>
      <c r="BQ181">
        <v>1.3199989999999999</v>
      </c>
      <c r="BR181">
        <v>105.11901899999999</v>
      </c>
      <c r="BS181">
        <v>1.568233</v>
      </c>
      <c r="BT181">
        <v>0.331264</v>
      </c>
      <c r="BU181">
        <v>28.993092000000001</v>
      </c>
      <c r="BV181">
        <v>3.6576249999999999</v>
      </c>
      <c r="BW181">
        <v>0.360537</v>
      </c>
      <c r="BX181">
        <v>54.818958000000002</v>
      </c>
      <c r="BY181">
        <v>2007.361572</v>
      </c>
      <c r="BZ181">
        <v>8.4699999999999999E-4</v>
      </c>
      <c r="CA181">
        <v>2020</v>
      </c>
      <c r="CB181">
        <v>3</v>
      </c>
      <c r="CC181">
        <v>12</v>
      </c>
      <c r="CD181">
        <v>3</v>
      </c>
      <c r="CE181">
        <v>20</v>
      </c>
      <c r="CF181">
        <v>20.899996000000002</v>
      </c>
      <c r="CG181">
        <v>2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-0.27521299999999999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</row>
    <row r="182" spans="1:105" x14ac:dyDescent="0.25">
      <c r="A182">
        <v>181</v>
      </c>
      <c r="B182" t="s">
        <v>319</v>
      </c>
      <c r="C182">
        <v>58920.201158000003</v>
      </c>
      <c r="D182">
        <v>351.80334499999998</v>
      </c>
      <c r="E182" s="3" t="s">
        <v>111</v>
      </c>
      <c r="F182" s="3" t="s">
        <v>110</v>
      </c>
      <c r="G182">
        <v>-3.1239819999999998</v>
      </c>
      <c r="H182">
        <v>211.101135</v>
      </c>
      <c r="I182">
        <v>52.715663999999997</v>
      </c>
      <c r="J182">
        <v>208.43978899999999</v>
      </c>
      <c r="K182">
        <v>52.123401999999999</v>
      </c>
      <c r="L182">
        <v>175.163803</v>
      </c>
      <c r="M182">
        <v>57.193913000000002</v>
      </c>
      <c r="N182">
        <v>24.903755</v>
      </c>
      <c r="O182">
        <v>24.903755</v>
      </c>
      <c r="P182">
        <v>22.356272000000001</v>
      </c>
      <c r="Q182">
        <v>36.654342999999997</v>
      </c>
      <c r="R182">
        <v>2.007101</v>
      </c>
      <c r="S182">
        <v>0.85443899999999995</v>
      </c>
      <c r="T182">
        <v>0.57429200000000002</v>
      </c>
      <c r="U182">
        <v>2.844649</v>
      </c>
      <c r="V182">
        <v>231.98500100000001</v>
      </c>
      <c r="W182">
        <v>351.80346700000001</v>
      </c>
      <c r="X182">
        <v>32.718403000000002</v>
      </c>
      <c r="Y182" t="s">
        <v>114</v>
      </c>
      <c r="Z182">
        <v>-1</v>
      </c>
      <c r="AA182">
        <v>-1</v>
      </c>
      <c r="AB182">
        <v>-0.7</v>
      </c>
      <c r="AC182">
        <v>0.37295400000000001</v>
      </c>
      <c r="AD182">
        <v>0.08</v>
      </c>
      <c r="AE182">
        <v>5.1580000000000004</v>
      </c>
      <c r="AF182">
        <v>0</v>
      </c>
      <c r="AG182">
        <v>126.22820299999999</v>
      </c>
      <c r="AH182">
        <v>-3.8923549999999998</v>
      </c>
      <c r="AI182">
        <v>197.02520799999999</v>
      </c>
      <c r="AJ182">
        <v>35.276420999999999</v>
      </c>
      <c r="AK182">
        <v>41.187030999999998</v>
      </c>
      <c r="AL182">
        <v>51.740417000000001</v>
      </c>
      <c r="AM182">
        <v>12.690037</v>
      </c>
      <c r="AN182">
        <v>14.169171</v>
      </c>
      <c r="AO182">
        <v>-3.3688000000000003E-2</v>
      </c>
      <c r="AP182">
        <v>53.499374000000003</v>
      </c>
      <c r="AQ182">
        <v>81.539894000000004</v>
      </c>
      <c r="AR182">
        <v>305.41729700000002</v>
      </c>
      <c r="AS182">
        <v>75.200660999999997</v>
      </c>
      <c r="AT182">
        <v>12.963416</v>
      </c>
      <c r="AU182">
        <v>41.095272000000001</v>
      </c>
      <c r="AV182">
        <v>51.371853000000002</v>
      </c>
      <c r="AW182">
        <v>-2.1536E-2</v>
      </c>
      <c r="AX182">
        <v>53.501156000000002</v>
      </c>
      <c r="AY182">
        <v>79.734406000000007</v>
      </c>
      <c r="AZ182">
        <v>305.28048699999999</v>
      </c>
      <c r="BA182">
        <v>75.573250000000002</v>
      </c>
      <c r="BB182">
        <v>12.969328000000001</v>
      </c>
      <c r="BC182">
        <v>1.9923</v>
      </c>
      <c r="BD182">
        <v>280.06021099999998</v>
      </c>
      <c r="BE182">
        <v>71.261298999999994</v>
      </c>
      <c r="BF182">
        <v>71.248656999999994</v>
      </c>
      <c r="BG182">
        <v>69.555801000000002</v>
      </c>
      <c r="BH182">
        <v>5</v>
      </c>
      <c r="BI182">
        <v>5</v>
      </c>
      <c r="BJ182">
        <v>0</v>
      </c>
      <c r="BK182">
        <v>100</v>
      </c>
      <c r="BL182">
        <v>2.3060000000000001E-2</v>
      </c>
      <c r="BM182">
        <v>1.111E-2</v>
      </c>
      <c r="BN182">
        <v>-1</v>
      </c>
      <c r="BO182">
        <v>3</v>
      </c>
      <c r="BP182">
        <v>1</v>
      </c>
      <c r="BQ182">
        <v>0.97999899999999995</v>
      </c>
      <c r="BR182">
        <v>105.11901899999999</v>
      </c>
      <c r="BS182">
        <v>13.410437999999999</v>
      </c>
      <c r="BT182">
        <v>24.851019000000001</v>
      </c>
      <c r="BU182">
        <v>12.597454000000001</v>
      </c>
      <c r="BV182">
        <v>9.1351750000000003</v>
      </c>
      <c r="BW182">
        <v>1.727643</v>
      </c>
      <c r="BX182">
        <v>24.488699</v>
      </c>
      <c r="BY182">
        <v>109.11537199999999</v>
      </c>
      <c r="BZ182">
        <v>9.8676E-2</v>
      </c>
      <c r="CA182">
        <v>2020</v>
      </c>
      <c r="CB182">
        <v>3</v>
      </c>
      <c r="CC182">
        <v>12</v>
      </c>
      <c r="CD182">
        <v>4</v>
      </c>
      <c r="CE182">
        <v>49</v>
      </c>
      <c r="CF182">
        <v>40.020004</v>
      </c>
      <c r="CG182">
        <v>2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0.49823099999999998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</row>
    <row r="183" spans="1:105" x14ac:dyDescent="0.25">
      <c r="A183">
        <v>182</v>
      </c>
      <c r="B183" t="s">
        <v>320</v>
      </c>
      <c r="C183">
        <v>58921.219791000003</v>
      </c>
      <c r="D183">
        <v>352.81933600000002</v>
      </c>
      <c r="E183" s="3" t="s">
        <v>111</v>
      </c>
      <c r="F183" s="3" t="s">
        <v>110</v>
      </c>
      <c r="G183">
        <v>-2.2853469999999998</v>
      </c>
      <c r="H183">
        <v>257.93151899999998</v>
      </c>
      <c r="I183">
        <v>45.789878999999999</v>
      </c>
      <c r="J183">
        <v>257.49691799999999</v>
      </c>
      <c r="K183">
        <v>45.711436999999997</v>
      </c>
      <c r="L183">
        <v>246.07662999999999</v>
      </c>
      <c r="M183">
        <v>68.112426999999997</v>
      </c>
      <c r="N183">
        <v>43.721305999999998</v>
      </c>
      <c r="O183">
        <v>43.721305999999998</v>
      </c>
      <c r="P183">
        <v>42.237555999999998</v>
      </c>
      <c r="Q183">
        <v>42.115780000000001</v>
      </c>
      <c r="R183">
        <v>78.540809999999993</v>
      </c>
      <c r="S183">
        <v>0.98467300000000002</v>
      </c>
      <c r="T183">
        <v>0.98746299999999998</v>
      </c>
      <c r="U183">
        <v>696.33429000000001</v>
      </c>
      <c r="V183">
        <v>191.130234</v>
      </c>
      <c r="W183">
        <v>352.819366</v>
      </c>
      <c r="X183">
        <v>69.217849999999999</v>
      </c>
      <c r="Y183" t="s">
        <v>321</v>
      </c>
      <c r="Z183">
        <v>3.3093279999999998</v>
      </c>
      <c r="AA183">
        <v>24.228107000000001</v>
      </c>
      <c r="AB183">
        <v>-0.7</v>
      </c>
      <c r="AC183">
        <v>3.1303019999999999</v>
      </c>
      <c r="AD183">
        <v>0.28000000000000003</v>
      </c>
      <c r="AE183">
        <v>11.124000000000001</v>
      </c>
      <c r="AF183">
        <v>0</v>
      </c>
      <c r="AG183">
        <v>158.25933800000001</v>
      </c>
      <c r="AH183">
        <v>9.2824139999999993</v>
      </c>
      <c r="AI183">
        <v>304.73956299999998</v>
      </c>
      <c r="AJ183">
        <v>-23.857596999999998</v>
      </c>
      <c r="AK183">
        <v>47.301085999999998</v>
      </c>
      <c r="AL183">
        <v>65.442520000000002</v>
      </c>
      <c r="AM183">
        <v>9.9465679999999992</v>
      </c>
      <c r="AN183">
        <v>27.644390000000001</v>
      </c>
      <c r="AO183">
        <v>-0.54319099999999998</v>
      </c>
      <c r="AP183">
        <v>52.560192000000001</v>
      </c>
      <c r="AQ183">
        <v>100.102333</v>
      </c>
      <c r="AR183">
        <v>209.83564799999999</v>
      </c>
      <c r="AS183">
        <v>66.260002</v>
      </c>
      <c r="AT183">
        <v>17.307251000000001</v>
      </c>
      <c r="AU183">
        <v>49.934657999999999</v>
      </c>
      <c r="AV183">
        <v>62.532390999999997</v>
      </c>
      <c r="AW183">
        <v>-0.56057100000000004</v>
      </c>
      <c r="AX183">
        <v>52.572043999999998</v>
      </c>
      <c r="AY183">
        <v>87.996925000000005</v>
      </c>
      <c r="AZ183">
        <v>205.213379</v>
      </c>
      <c r="BA183">
        <v>69.390304999999998</v>
      </c>
      <c r="BB183">
        <v>17.709835000000002</v>
      </c>
      <c r="BC183">
        <v>12.241965</v>
      </c>
      <c r="BD183">
        <v>138.578934</v>
      </c>
      <c r="BE183">
        <v>81.360366999999997</v>
      </c>
      <c r="BF183">
        <v>82.268028000000001</v>
      </c>
      <c r="BG183">
        <v>82.421706999999998</v>
      </c>
      <c r="BH183">
        <v>15</v>
      </c>
      <c r="BI183">
        <v>15</v>
      </c>
      <c r="BJ183">
        <v>0</v>
      </c>
      <c r="BK183">
        <v>60</v>
      </c>
      <c r="BL183">
        <v>2.1839999999999998E-2</v>
      </c>
      <c r="BM183">
        <v>5.6100000000000004E-3</v>
      </c>
      <c r="BN183">
        <v>-1</v>
      </c>
      <c r="BO183">
        <v>3</v>
      </c>
      <c r="BP183">
        <v>1</v>
      </c>
      <c r="BQ183">
        <v>1.369999</v>
      </c>
      <c r="BR183">
        <v>105.12027</v>
      </c>
      <c r="BS183">
        <v>18.965354999999999</v>
      </c>
      <c r="BT183">
        <v>5.2750000000000002E-3</v>
      </c>
      <c r="BU183">
        <v>42.754128000000001</v>
      </c>
      <c r="BV183">
        <v>1.2276910000000001</v>
      </c>
      <c r="BW183">
        <v>0.31323699999999999</v>
      </c>
      <c r="BX183">
        <v>1.588457</v>
      </c>
      <c r="BY183">
        <v>5.2218119999999999</v>
      </c>
      <c r="BZ183">
        <v>0.83983200000000002</v>
      </c>
      <c r="CA183">
        <v>2020</v>
      </c>
      <c r="CB183">
        <v>3</v>
      </c>
      <c r="CC183">
        <v>13</v>
      </c>
      <c r="CD183">
        <v>5</v>
      </c>
      <c r="CE183">
        <v>16</v>
      </c>
      <c r="CF183">
        <v>29.929998000000001</v>
      </c>
      <c r="CG183">
        <v>2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1.2732E-2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</row>
    <row r="184" spans="1:105" x14ac:dyDescent="0.25">
      <c r="A184">
        <v>183</v>
      </c>
      <c r="B184" t="s">
        <v>322</v>
      </c>
      <c r="C184">
        <v>58924.916834000003</v>
      </c>
      <c r="D184">
        <v>356.50268599999998</v>
      </c>
      <c r="E184" s="3" t="s">
        <v>111</v>
      </c>
      <c r="F184" s="3" t="s">
        <v>110</v>
      </c>
      <c r="G184">
        <v>-1.2556970000000001</v>
      </c>
      <c r="H184">
        <v>173.64923099999999</v>
      </c>
      <c r="I184">
        <v>12.147035000000001</v>
      </c>
      <c r="J184">
        <v>174.388351</v>
      </c>
      <c r="K184">
        <v>9.1132259999999992</v>
      </c>
      <c r="L184">
        <v>171.230774</v>
      </c>
      <c r="M184">
        <v>6.1376569999999999</v>
      </c>
      <c r="N184">
        <v>22.751363999999999</v>
      </c>
      <c r="O184">
        <v>22.751363999999999</v>
      </c>
      <c r="P184">
        <v>19.654012999999999</v>
      </c>
      <c r="Q184">
        <v>37.024138999999998</v>
      </c>
      <c r="R184">
        <v>2.151176</v>
      </c>
      <c r="S184">
        <v>0.66776100000000005</v>
      </c>
      <c r="T184">
        <v>0.68958299999999995</v>
      </c>
      <c r="U184">
        <v>3.1563750000000002</v>
      </c>
      <c r="V184">
        <v>258.802368</v>
      </c>
      <c r="W184">
        <v>356.50570699999997</v>
      </c>
      <c r="X184">
        <v>3.7872940000000002</v>
      </c>
      <c r="Y184" t="s">
        <v>114</v>
      </c>
      <c r="Z184">
        <v>-1</v>
      </c>
      <c r="AA184">
        <v>-1</v>
      </c>
      <c r="AB184">
        <v>-0.2</v>
      </c>
      <c r="AC184">
        <v>8.0219380000000005</v>
      </c>
      <c r="AD184">
        <v>1</v>
      </c>
      <c r="AE184">
        <v>8.2460000000000004</v>
      </c>
      <c r="AF184">
        <v>0</v>
      </c>
      <c r="AG184">
        <v>78.942513000000005</v>
      </c>
      <c r="AH184">
        <v>20.868210000000001</v>
      </c>
      <c r="AI184">
        <v>304.130585</v>
      </c>
      <c r="AJ184">
        <v>-23.823374000000001</v>
      </c>
      <c r="AK184">
        <v>285.28439300000002</v>
      </c>
      <c r="AL184">
        <v>66.955108999999993</v>
      </c>
      <c r="AM184">
        <v>16.659927</v>
      </c>
      <c r="AN184">
        <v>31.492916000000001</v>
      </c>
      <c r="AO184">
        <v>359.55291699999998</v>
      </c>
      <c r="AP184">
        <v>52.116646000000003</v>
      </c>
      <c r="AQ184">
        <v>86.416542000000007</v>
      </c>
      <c r="AR184">
        <v>162.40817300000001</v>
      </c>
      <c r="AS184">
        <v>86.988631999999996</v>
      </c>
      <c r="AT184">
        <v>5.2859090000000002</v>
      </c>
      <c r="AU184">
        <v>301.35351600000001</v>
      </c>
      <c r="AV184">
        <v>62.69088</v>
      </c>
      <c r="AW184">
        <v>359.39639299999999</v>
      </c>
      <c r="AX184">
        <v>52.226311000000003</v>
      </c>
      <c r="AY184">
        <v>70.723067999999998</v>
      </c>
      <c r="AZ184">
        <v>162.805984</v>
      </c>
      <c r="BA184">
        <v>95.010574000000005</v>
      </c>
      <c r="BB184">
        <v>5.2729559999999998</v>
      </c>
      <c r="BC184">
        <v>22.751363999999999</v>
      </c>
      <c r="BD184">
        <v>138.65679900000001</v>
      </c>
      <c r="BE184">
        <v>43.475997999999997</v>
      </c>
      <c r="BF184">
        <v>44.111629000000001</v>
      </c>
      <c r="BG184">
        <v>41.061748999999999</v>
      </c>
      <c r="BH184">
        <v>51</v>
      </c>
      <c r="BI184">
        <v>50</v>
      </c>
      <c r="BJ184">
        <v>1.9607840000000001</v>
      </c>
      <c r="BK184">
        <v>58</v>
      </c>
      <c r="BL184">
        <v>1.9650000000000001E-2</v>
      </c>
      <c r="BM184">
        <v>9.1999999999999998E-3</v>
      </c>
      <c r="BN184">
        <v>-1</v>
      </c>
      <c r="BO184">
        <v>3</v>
      </c>
      <c r="BP184">
        <v>1</v>
      </c>
      <c r="BQ184">
        <v>4.2699930000000004</v>
      </c>
      <c r="BR184">
        <v>105.11901899999999</v>
      </c>
      <c r="BS184">
        <v>5.2932399999999999</v>
      </c>
      <c r="BT184">
        <v>1.6500000000000001E-2</v>
      </c>
      <c r="BU184">
        <v>84.504722999999998</v>
      </c>
      <c r="BV184">
        <v>1.07223</v>
      </c>
      <c r="BW184">
        <v>3.1195460000000002</v>
      </c>
      <c r="BX184">
        <v>2.688142</v>
      </c>
      <c r="BY184">
        <v>29.250536</v>
      </c>
      <c r="BZ184">
        <v>0.56704900000000003</v>
      </c>
      <c r="CA184">
        <v>2020</v>
      </c>
      <c r="CB184">
        <v>3</v>
      </c>
      <c r="CC184">
        <v>16</v>
      </c>
      <c r="CD184">
        <v>22</v>
      </c>
      <c r="CE184">
        <v>0</v>
      </c>
      <c r="CF184">
        <v>14.420005</v>
      </c>
      <c r="CG184">
        <v>2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0.464862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</row>
    <row r="185" spans="1:105" x14ac:dyDescent="0.25">
      <c r="A185">
        <v>184</v>
      </c>
      <c r="B185" t="s">
        <v>323</v>
      </c>
      <c r="C185">
        <v>58924.980428000003</v>
      </c>
      <c r="D185">
        <v>356.56597900000003</v>
      </c>
      <c r="E185" s="2" t="s">
        <v>125</v>
      </c>
      <c r="F185" s="2" t="s">
        <v>106</v>
      </c>
      <c r="G185">
        <v>-0.42442999999999997</v>
      </c>
      <c r="H185">
        <v>239.26686100000001</v>
      </c>
      <c r="I185">
        <v>13.875088999999999</v>
      </c>
      <c r="J185">
        <v>239.71603400000001</v>
      </c>
      <c r="K185">
        <v>13.286951999999999</v>
      </c>
      <c r="L185">
        <v>234.16734299999999</v>
      </c>
      <c r="M185">
        <v>33.033690999999997</v>
      </c>
      <c r="N185">
        <v>54.648871999999997</v>
      </c>
      <c r="O185">
        <v>54.648871999999997</v>
      </c>
      <c r="P185">
        <v>53.221477999999998</v>
      </c>
      <c r="Q185">
        <v>38.078156</v>
      </c>
      <c r="R185">
        <v>2.6624430000000001</v>
      </c>
      <c r="S185">
        <v>0.56253799999999998</v>
      </c>
      <c r="T185">
        <v>0.788713</v>
      </c>
      <c r="U185">
        <v>4.3460539999999996</v>
      </c>
      <c r="V185">
        <v>269.18182400000001</v>
      </c>
      <c r="W185">
        <v>356.56594799999999</v>
      </c>
      <c r="X185">
        <v>104.942268</v>
      </c>
      <c r="Y185" t="s">
        <v>114</v>
      </c>
      <c r="Z185">
        <v>-1</v>
      </c>
      <c r="AA185">
        <v>-1</v>
      </c>
      <c r="AB185">
        <v>-0.1</v>
      </c>
      <c r="AC185">
        <v>10.798142</v>
      </c>
      <c r="AD185">
        <v>0.4</v>
      </c>
      <c r="AE185">
        <v>27.558001000000001</v>
      </c>
      <c r="AF185">
        <v>0</v>
      </c>
      <c r="AG185">
        <v>151.56951900000001</v>
      </c>
      <c r="AH185">
        <v>-9.2385570000000001</v>
      </c>
      <c r="AI185">
        <v>352.28057899999999</v>
      </c>
      <c r="AJ185">
        <v>-37.447555999999999</v>
      </c>
      <c r="AK185">
        <v>113.95574999999999</v>
      </c>
      <c r="AL185">
        <v>78.396407999999994</v>
      </c>
      <c r="AM185">
        <v>342.58453400000002</v>
      </c>
      <c r="AN185">
        <v>57.913730999999999</v>
      </c>
      <c r="AO185">
        <v>358.41387900000001</v>
      </c>
      <c r="AP185">
        <v>52.393554999999999</v>
      </c>
      <c r="AQ185">
        <v>98.83963</v>
      </c>
      <c r="AR185">
        <v>116.422951</v>
      </c>
      <c r="AS185">
        <v>82.990402000000003</v>
      </c>
      <c r="AT185">
        <v>24.752238999999999</v>
      </c>
      <c r="AU185">
        <v>88.068259999999995</v>
      </c>
      <c r="AV185">
        <v>69.970551</v>
      </c>
      <c r="AW185">
        <v>358.120026</v>
      </c>
      <c r="AX185">
        <v>52.408450999999999</v>
      </c>
      <c r="AY185">
        <v>90.907982000000004</v>
      </c>
      <c r="AZ185">
        <v>115.80585499999999</v>
      </c>
      <c r="BA185">
        <v>93.788544000000002</v>
      </c>
      <c r="BB185">
        <v>24.893084999999999</v>
      </c>
      <c r="BC185">
        <v>21.859549000000001</v>
      </c>
      <c r="BD185">
        <v>94.773903000000004</v>
      </c>
      <c r="BE185">
        <v>21.177129999999998</v>
      </c>
      <c r="BF185">
        <v>21.385860000000001</v>
      </c>
      <c r="BG185">
        <v>20.654115999999998</v>
      </c>
      <c r="BH185">
        <v>21</v>
      </c>
      <c r="BI185">
        <v>21</v>
      </c>
      <c r="BJ185">
        <v>0</v>
      </c>
      <c r="BK185">
        <v>7</v>
      </c>
      <c r="BL185">
        <v>0.24005000000000001</v>
      </c>
      <c r="BM185">
        <v>1.6820000000000002E-2</v>
      </c>
      <c r="BN185">
        <v>-1</v>
      </c>
      <c r="BO185">
        <v>3</v>
      </c>
      <c r="BP185">
        <v>1</v>
      </c>
      <c r="BQ185">
        <v>0.280003</v>
      </c>
      <c r="BR185">
        <v>105.113434</v>
      </c>
      <c r="BS185">
        <v>24.951328</v>
      </c>
      <c r="BT185">
        <v>1.2036979999999999</v>
      </c>
      <c r="BU185">
        <v>27.084661000000001</v>
      </c>
      <c r="BV185">
        <v>3.4995500000000002</v>
      </c>
      <c r="BW185">
        <v>0.73248500000000005</v>
      </c>
      <c r="BX185">
        <v>5.0180670000000003</v>
      </c>
      <c r="BY185">
        <v>11.921484</v>
      </c>
      <c r="BZ185">
        <v>0.68432700000000002</v>
      </c>
      <c r="CA185">
        <v>2020</v>
      </c>
      <c r="CB185">
        <v>3</v>
      </c>
      <c r="CC185">
        <v>16</v>
      </c>
      <c r="CD185">
        <v>23</v>
      </c>
      <c r="CE185">
        <v>31</v>
      </c>
      <c r="CF185">
        <v>48.950001</v>
      </c>
      <c r="CG185">
        <v>2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0.37559500000000001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</row>
    <row r="186" spans="1:105" x14ac:dyDescent="0.25">
      <c r="A186">
        <v>185</v>
      </c>
      <c r="B186" t="s">
        <v>324</v>
      </c>
      <c r="C186">
        <v>58925.134563</v>
      </c>
      <c r="D186">
        <v>356.71942100000001</v>
      </c>
      <c r="E186" s="2" t="s">
        <v>125</v>
      </c>
      <c r="F186" s="2" t="s">
        <v>106</v>
      </c>
      <c r="G186">
        <v>-1.378314</v>
      </c>
      <c r="H186">
        <v>259.03103599999997</v>
      </c>
      <c r="I186">
        <v>46.317554000000001</v>
      </c>
      <c r="J186">
        <v>259.19574</v>
      </c>
      <c r="K186">
        <v>46.272624999999998</v>
      </c>
      <c r="L186">
        <v>248.88528400000001</v>
      </c>
      <c r="M186">
        <v>68.918800000000005</v>
      </c>
      <c r="N186">
        <v>40.737040999999998</v>
      </c>
      <c r="O186">
        <v>40.737040999999998</v>
      </c>
      <c r="P186">
        <v>39.050525999999998</v>
      </c>
      <c r="Q186">
        <v>40.203037000000002</v>
      </c>
      <c r="R186">
        <v>5.3190169999999997</v>
      </c>
      <c r="S186">
        <v>0.98509800000000003</v>
      </c>
      <c r="T186">
        <v>0.81479699999999999</v>
      </c>
      <c r="U186">
        <v>12.272182000000001</v>
      </c>
      <c r="V186">
        <v>192.12112400000001</v>
      </c>
      <c r="W186">
        <v>356.71951300000001</v>
      </c>
      <c r="X186">
        <v>65.560080999999997</v>
      </c>
      <c r="Y186" t="s">
        <v>321</v>
      </c>
      <c r="Z186">
        <v>3.9328379999999998</v>
      </c>
      <c r="AA186">
        <v>14.854487000000001</v>
      </c>
      <c r="AB186">
        <v>-1.2</v>
      </c>
      <c r="AC186">
        <v>4.6525189999999998</v>
      </c>
      <c r="AD186">
        <v>0.26</v>
      </c>
      <c r="AE186">
        <v>17.899999999999999</v>
      </c>
      <c r="AF186">
        <v>0</v>
      </c>
      <c r="AG186">
        <v>43.757461999999997</v>
      </c>
      <c r="AH186">
        <v>37.943336000000002</v>
      </c>
      <c r="AI186">
        <v>1.156666</v>
      </c>
      <c r="AJ186">
        <v>-38.095303000000001</v>
      </c>
      <c r="AK186">
        <v>180.01306199999999</v>
      </c>
      <c r="AL186">
        <v>42.816879</v>
      </c>
      <c r="AM186">
        <v>268.76058999999998</v>
      </c>
      <c r="AN186">
        <v>60.527607000000003</v>
      </c>
      <c r="AO186">
        <v>-2.1033119999999998</v>
      </c>
      <c r="AP186">
        <v>51.859634</v>
      </c>
      <c r="AQ186">
        <v>97.282127000000003</v>
      </c>
      <c r="AR186">
        <v>111.498306</v>
      </c>
      <c r="AS186">
        <v>53.982982999999997</v>
      </c>
      <c r="AT186">
        <v>34.076694000000003</v>
      </c>
      <c r="AU186">
        <v>174.90860000000001</v>
      </c>
      <c r="AV186">
        <v>40.16375</v>
      </c>
      <c r="AW186">
        <v>-2.1671119999999999</v>
      </c>
      <c r="AX186">
        <v>51.857852999999999</v>
      </c>
      <c r="AY186">
        <v>87.676445000000001</v>
      </c>
      <c r="AZ186">
        <v>105.618172</v>
      </c>
      <c r="BA186">
        <v>58.635502000000002</v>
      </c>
      <c r="BB186">
        <v>36.263247999999997</v>
      </c>
      <c r="BC186">
        <v>10.591631</v>
      </c>
      <c r="BD186">
        <v>87.783828999999997</v>
      </c>
      <c r="BE186">
        <v>65.003365000000002</v>
      </c>
      <c r="BF186">
        <v>65.489090000000004</v>
      </c>
      <c r="BG186">
        <v>65.367287000000005</v>
      </c>
      <c r="BH186">
        <v>14</v>
      </c>
      <c r="BI186">
        <v>13</v>
      </c>
      <c r="BJ186">
        <v>7.1428570000000002</v>
      </c>
      <c r="BK186">
        <v>12</v>
      </c>
      <c r="BL186">
        <v>1.5890000000000001E-2</v>
      </c>
      <c r="BM186">
        <v>2.1510000000000001E-2</v>
      </c>
      <c r="BN186">
        <v>-1</v>
      </c>
      <c r="BO186">
        <v>3</v>
      </c>
      <c r="BP186">
        <v>1</v>
      </c>
      <c r="BQ186">
        <v>0.34999799999999998</v>
      </c>
      <c r="BR186">
        <v>105.113434</v>
      </c>
      <c r="BS186">
        <v>43.845889999999997</v>
      </c>
      <c r="BT186">
        <v>2.921E-3</v>
      </c>
      <c r="BU186">
        <v>38.954075000000003</v>
      </c>
      <c r="BV186">
        <v>0.89099600000000001</v>
      </c>
      <c r="BW186">
        <v>0.122349</v>
      </c>
      <c r="BX186">
        <v>0.39368300000000001</v>
      </c>
      <c r="BY186">
        <v>0.66557200000000005</v>
      </c>
      <c r="BZ186">
        <v>0.96200699999999995</v>
      </c>
      <c r="CA186">
        <v>2020</v>
      </c>
      <c r="CB186">
        <v>3</v>
      </c>
      <c r="CC186">
        <v>17</v>
      </c>
      <c r="CD186">
        <v>3</v>
      </c>
      <c r="CE186">
        <v>13</v>
      </c>
      <c r="CF186">
        <v>46.210003</v>
      </c>
      <c r="CG186">
        <v>2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0.18800500000000001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</row>
    <row r="187" spans="1:105" x14ac:dyDescent="0.25">
      <c r="A187">
        <v>186</v>
      </c>
      <c r="B187" t="s">
        <v>325</v>
      </c>
      <c r="C187">
        <v>58925.156373999998</v>
      </c>
      <c r="D187">
        <v>356.74111900000003</v>
      </c>
      <c r="E187" s="3" t="s">
        <v>111</v>
      </c>
      <c r="F187" s="3" t="s">
        <v>110</v>
      </c>
      <c r="G187">
        <v>-0.25755699999999998</v>
      </c>
      <c r="H187">
        <v>356.42575099999999</v>
      </c>
      <c r="I187">
        <v>81.633392000000001</v>
      </c>
      <c r="J187">
        <v>20.258776000000001</v>
      </c>
      <c r="K187">
        <v>77.249176000000006</v>
      </c>
      <c r="L187">
        <v>65.674796999999998</v>
      </c>
      <c r="M187">
        <v>59.823112000000002</v>
      </c>
      <c r="N187">
        <v>17.325559999999999</v>
      </c>
      <c r="O187">
        <v>17.325559999999999</v>
      </c>
      <c r="P187">
        <v>13.194132</v>
      </c>
      <c r="Q187">
        <v>37.985500000000002</v>
      </c>
      <c r="R187">
        <v>2.6079789999999998</v>
      </c>
      <c r="S187">
        <v>0.98762399999999995</v>
      </c>
      <c r="T187">
        <v>0.62130700000000005</v>
      </c>
      <c r="U187">
        <v>4.2133820000000002</v>
      </c>
      <c r="V187">
        <v>168.66351299999999</v>
      </c>
      <c r="W187">
        <v>356.74179099999998</v>
      </c>
      <c r="X187">
        <v>17.524193</v>
      </c>
      <c r="Y187" t="s">
        <v>114</v>
      </c>
      <c r="Z187">
        <v>-1</v>
      </c>
      <c r="AA187">
        <v>-1</v>
      </c>
      <c r="AB187">
        <v>0.2</v>
      </c>
      <c r="AC187">
        <v>1.293113</v>
      </c>
      <c r="AD187">
        <v>0.68</v>
      </c>
      <c r="AE187">
        <v>1.7490000000000001</v>
      </c>
      <c r="AF187">
        <v>0</v>
      </c>
      <c r="AG187">
        <v>95.359290999999999</v>
      </c>
      <c r="AH187">
        <v>1.3083260000000001</v>
      </c>
      <c r="AI187">
        <v>81.704338000000007</v>
      </c>
      <c r="AJ187">
        <v>-6.0745760000000004</v>
      </c>
      <c r="AK187">
        <v>2.007301</v>
      </c>
      <c r="AL187">
        <v>68.664176999999995</v>
      </c>
      <c r="AM187">
        <v>19.19821</v>
      </c>
      <c r="AN187">
        <v>34.869686000000002</v>
      </c>
      <c r="AO187">
        <v>-0.51538300000000004</v>
      </c>
      <c r="AP187">
        <v>51.828484000000003</v>
      </c>
      <c r="AQ187">
        <v>74.811278999999999</v>
      </c>
      <c r="AR187">
        <v>129.179733</v>
      </c>
      <c r="AS187">
        <v>13.03314</v>
      </c>
      <c r="AT187">
        <v>13.004640999999999</v>
      </c>
      <c r="AU187">
        <v>2.2182149999999998</v>
      </c>
      <c r="AV187">
        <v>67.373474000000002</v>
      </c>
      <c r="AW187">
        <v>-0.53539599999999998</v>
      </c>
      <c r="AX187">
        <v>51.757201999999999</v>
      </c>
      <c r="AY187">
        <v>66.267753999999996</v>
      </c>
      <c r="AZ187">
        <v>117.73183400000001</v>
      </c>
      <c r="BA187">
        <v>14.326254</v>
      </c>
      <c r="BB187">
        <v>14.29481</v>
      </c>
      <c r="BC187">
        <v>11.781381</v>
      </c>
      <c r="BD187">
        <v>9.7682970000000005</v>
      </c>
      <c r="BE187">
        <v>46.575198999999998</v>
      </c>
      <c r="BF187">
        <v>45.645336</v>
      </c>
      <c r="BG187">
        <v>39.634762000000002</v>
      </c>
      <c r="BH187">
        <v>35</v>
      </c>
      <c r="BI187">
        <v>18</v>
      </c>
      <c r="BJ187">
        <v>48.571429999999999</v>
      </c>
      <c r="BK187">
        <v>83</v>
      </c>
      <c r="BL187">
        <v>2.1319999999999999E-2</v>
      </c>
      <c r="BM187">
        <v>7.1799999999999998E-3</v>
      </c>
      <c r="BN187">
        <v>-1</v>
      </c>
      <c r="BO187">
        <v>3</v>
      </c>
      <c r="BP187">
        <v>1</v>
      </c>
      <c r="BQ187">
        <v>3.9999980000000002</v>
      </c>
      <c r="BR187">
        <v>105.11901899999999</v>
      </c>
      <c r="BS187">
        <v>86.243094999999997</v>
      </c>
      <c r="BT187">
        <v>1.6622000000000001E-2</v>
      </c>
      <c r="BU187">
        <v>-4.45078</v>
      </c>
      <c r="BV187">
        <v>3.039809</v>
      </c>
      <c r="BW187">
        <v>6.1014210000000002</v>
      </c>
      <c r="BX187">
        <v>0.25018499999999999</v>
      </c>
      <c r="BY187">
        <v>1.01326</v>
      </c>
      <c r="BZ187">
        <v>0.87176500000000001</v>
      </c>
      <c r="CA187">
        <v>2020</v>
      </c>
      <c r="CB187">
        <v>3</v>
      </c>
      <c r="CC187">
        <v>17</v>
      </c>
      <c r="CD187">
        <v>3</v>
      </c>
      <c r="CE187">
        <v>45</v>
      </c>
      <c r="CF187">
        <v>10.729996</v>
      </c>
      <c r="CG187">
        <v>2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0.38343899999999997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</row>
    <row r="188" spans="1:105" x14ac:dyDescent="0.25">
      <c r="A188">
        <v>187</v>
      </c>
      <c r="B188" t="s">
        <v>326</v>
      </c>
      <c r="C188">
        <v>58930.901888</v>
      </c>
      <c r="D188">
        <v>2.4515889999999998</v>
      </c>
      <c r="E188" s="2" t="s">
        <v>125</v>
      </c>
      <c r="F188" s="2" t="s">
        <v>106</v>
      </c>
      <c r="G188">
        <v>-1.3057000000000001</v>
      </c>
      <c r="H188">
        <v>275.26034499999997</v>
      </c>
      <c r="I188">
        <v>51.760795999999999</v>
      </c>
      <c r="J188">
        <v>276.84069799999997</v>
      </c>
      <c r="K188">
        <v>50.658141999999998</v>
      </c>
      <c r="L188">
        <v>285.62948599999999</v>
      </c>
      <c r="M188">
        <v>73.723731999999998</v>
      </c>
      <c r="N188">
        <v>40.880482000000001</v>
      </c>
      <c r="O188">
        <v>40.880482000000001</v>
      </c>
      <c r="P188">
        <v>39.183643000000004</v>
      </c>
      <c r="Q188">
        <v>42.335616999999999</v>
      </c>
      <c r="R188">
        <v>-72.865836999999999</v>
      </c>
      <c r="S188">
        <v>0.99173699999999998</v>
      </c>
      <c r="T188">
        <v>1.0136099999999999</v>
      </c>
      <c r="U188">
        <v>0</v>
      </c>
      <c r="V188">
        <v>171.934326</v>
      </c>
      <c r="W188">
        <v>2.4517730000000002</v>
      </c>
      <c r="X188">
        <v>62.959071999999999</v>
      </c>
      <c r="Y188" t="s">
        <v>114</v>
      </c>
      <c r="Z188">
        <v>-1</v>
      </c>
      <c r="AA188">
        <v>-1</v>
      </c>
      <c r="AB188">
        <v>-0.3</v>
      </c>
      <c r="AC188">
        <v>8.3824310000000004</v>
      </c>
      <c r="AD188">
        <v>0.57999999999999996</v>
      </c>
      <c r="AE188">
        <v>14.673999999999999</v>
      </c>
      <c r="AF188">
        <v>0</v>
      </c>
      <c r="AG188">
        <v>345.19097900000003</v>
      </c>
      <c r="AH188">
        <v>-15.131944000000001</v>
      </c>
      <c r="AI188">
        <v>63.196533000000002</v>
      </c>
      <c r="AJ188">
        <v>-17.310692</v>
      </c>
      <c r="AK188">
        <v>57.127887999999999</v>
      </c>
      <c r="AL188">
        <v>48.907035999999998</v>
      </c>
      <c r="AM188">
        <v>303.64633199999997</v>
      </c>
      <c r="AN188">
        <v>38.066338000000002</v>
      </c>
      <c r="AO188">
        <v>357.14871199999999</v>
      </c>
      <c r="AP188">
        <v>52.486198000000002</v>
      </c>
      <c r="AQ188">
        <v>100.27050800000001</v>
      </c>
      <c r="AR188">
        <v>161.29373200000001</v>
      </c>
      <c r="AS188">
        <v>74.220450999999997</v>
      </c>
      <c r="AT188">
        <v>17.143723000000001</v>
      </c>
      <c r="AU188">
        <v>61.535758999999999</v>
      </c>
      <c r="AV188">
        <v>41.121307000000002</v>
      </c>
      <c r="AW188">
        <v>356.99249300000002</v>
      </c>
      <c r="AX188">
        <v>52.315593999999997</v>
      </c>
      <c r="AY188">
        <v>91.584205999999995</v>
      </c>
      <c r="AZ188">
        <v>156.51799</v>
      </c>
      <c r="BA188">
        <v>82.602881999999994</v>
      </c>
      <c r="BB188">
        <v>17.683803999999999</v>
      </c>
      <c r="BC188">
        <v>23.710678000000001</v>
      </c>
      <c r="BD188">
        <v>29.274197000000001</v>
      </c>
      <c r="BE188">
        <v>21.564709000000001</v>
      </c>
      <c r="BF188">
        <v>21.492058</v>
      </c>
      <c r="BG188">
        <v>20.046389000000001</v>
      </c>
      <c r="BH188">
        <v>30</v>
      </c>
      <c r="BI188">
        <v>30</v>
      </c>
      <c r="BJ188">
        <v>0</v>
      </c>
      <c r="BK188">
        <v>49</v>
      </c>
      <c r="BL188">
        <v>2.792E-2</v>
      </c>
      <c r="BM188">
        <v>2.3890000000000002E-2</v>
      </c>
      <c r="BN188">
        <v>-1</v>
      </c>
      <c r="BO188">
        <v>3</v>
      </c>
      <c r="BP188">
        <v>1</v>
      </c>
      <c r="BQ188">
        <v>0.46999299999999999</v>
      </c>
      <c r="BR188">
        <v>105.113434</v>
      </c>
      <c r="BS188">
        <v>17.837181000000001</v>
      </c>
      <c r="BT188">
        <v>2.4518059999999999</v>
      </c>
      <c r="BU188">
        <v>20.885079999999999</v>
      </c>
      <c r="BV188">
        <v>1.080522</v>
      </c>
      <c r="BW188">
        <v>1.4818359999999999</v>
      </c>
      <c r="BX188">
        <v>1.0385230000000001</v>
      </c>
      <c r="BY188">
        <v>3.4188499999999999</v>
      </c>
      <c r="BZ188">
        <v>0.83287699999999998</v>
      </c>
      <c r="CA188">
        <v>2020</v>
      </c>
      <c r="CB188">
        <v>3</v>
      </c>
      <c r="CC188">
        <v>22</v>
      </c>
      <c r="CD188">
        <v>21</v>
      </c>
      <c r="CE188">
        <v>38</v>
      </c>
      <c r="CF188">
        <v>43.080005999999997</v>
      </c>
      <c r="CG188">
        <v>2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-1.3724E-2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</row>
    <row r="189" spans="1:105" x14ac:dyDescent="0.25">
      <c r="A189">
        <v>188</v>
      </c>
      <c r="B189" t="s">
        <v>327</v>
      </c>
      <c r="C189">
        <v>58930.932129000001</v>
      </c>
      <c r="D189">
        <v>2.4815999999999998</v>
      </c>
      <c r="E189" s="3" t="s">
        <v>153</v>
      </c>
      <c r="F189" s="3" t="s">
        <v>154</v>
      </c>
      <c r="G189">
        <v>-1.528062</v>
      </c>
      <c r="H189">
        <v>159.79740899999999</v>
      </c>
      <c r="I189">
        <v>16.483498000000001</v>
      </c>
      <c r="J189">
        <v>158.84695400000001</v>
      </c>
      <c r="K189">
        <v>11.485331</v>
      </c>
      <c r="L189">
        <v>156.17073099999999</v>
      </c>
      <c r="M189">
        <v>2.4092639999999999</v>
      </c>
      <c r="N189">
        <v>16.779865000000001</v>
      </c>
      <c r="O189">
        <v>16.779865000000001</v>
      </c>
      <c r="P189">
        <v>12.485678999999999</v>
      </c>
      <c r="Q189">
        <v>37.001601999999998</v>
      </c>
      <c r="R189">
        <v>2.1584859999999999</v>
      </c>
      <c r="S189">
        <v>0.88339699999999999</v>
      </c>
      <c r="T189">
        <v>0.59073299999999995</v>
      </c>
      <c r="U189">
        <v>3.1724770000000002</v>
      </c>
      <c r="V189">
        <v>226.06320199999999</v>
      </c>
      <c r="W189">
        <v>2.5059200000000001</v>
      </c>
      <c r="X189">
        <v>0.84836100000000003</v>
      </c>
      <c r="Y189" t="s">
        <v>114</v>
      </c>
      <c r="Z189">
        <v>-1</v>
      </c>
      <c r="AA189">
        <v>-1</v>
      </c>
      <c r="AB189">
        <v>0.3</v>
      </c>
      <c r="AC189">
        <v>3.0324810000000002</v>
      </c>
      <c r="AD189">
        <v>0.86</v>
      </c>
      <c r="AE189">
        <v>3.6349999999999998</v>
      </c>
      <c r="AF189">
        <v>0</v>
      </c>
      <c r="AG189">
        <v>297.99035600000002</v>
      </c>
      <c r="AH189">
        <v>68.348327999999995</v>
      </c>
      <c r="AI189">
        <v>274.00286899999998</v>
      </c>
      <c r="AJ189">
        <v>-2.179624</v>
      </c>
      <c r="AK189">
        <v>214.07543899999999</v>
      </c>
      <c r="AL189">
        <v>-2.4096449999999998</v>
      </c>
      <c r="AM189">
        <v>116.247536</v>
      </c>
      <c r="AN189">
        <v>16.785882999999998</v>
      </c>
      <c r="AO189">
        <v>1.4131069999999999</v>
      </c>
      <c r="AP189">
        <v>49.891747000000002</v>
      </c>
      <c r="AQ189">
        <v>72.958602999999997</v>
      </c>
      <c r="AR189">
        <v>235.85661300000001</v>
      </c>
      <c r="AS189">
        <v>56.808945000000001</v>
      </c>
      <c r="AT189">
        <v>4.5510200000000003</v>
      </c>
      <c r="AU189">
        <v>216.901611</v>
      </c>
      <c r="AV189">
        <v>-3.5188389999999998</v>
      </c>
      <c r="AW189">
        <v>1.4066399999999999</v>
      </c>
      <c r="AX189">
        <v>49.962097</v>
      </c>
      <c r="AY189">
        <v>60.921989000000004</v>
      </c>
      <c r="AZ189">
        <v>228.27641299999999</v>
      </c>
      <c r="BA189">
        <v>59.841427000000003</v>
      </c>
      <c r="BB189">
        <v>4.702477</v>
      </c>
      <c r="BC189">
        <v>14.430683999999999</v>
      </c>
      <c r="BD189">
        <v>176.16192599999999</v>
      </c>
      <c r="BE189">
        <v>56.438324000000001</v>
      </c>
      <c r="BF189">
        <v>55.330222999999997</v>
      </c>
      <c r="BG189">
        <v>50.426445000000001</v>
      </c>
      <c r="BH189">
        <v>44</v>
      </c>
      <c r="BI189">
        <v>32</v>
      </c>
      <c r="BJ189">
        <v>27.272728000000001</v>
      </c>
      <c r="BK189">
        <v>15</v>
      </c>
      <c r="BL189">
        <v>1.2540000000000001E-2</v>
      </c>
      <c r="BM189">
        <v>9.7199999999999995E-3</v>
      </c>
      <c r="BN189">
        <v>-1</v>
      </c>
      <c r="BO189">
        <v>3</v>
      </c>
      <c r="BP189">
        <v>1</v>
      </c>
      <c r="BQ189">
        <v>0.14000099999999999</v>
      </c>
      <c r="BR189">
        <v>27.946843999999999</v>
      </c>
      <c r="BS189">
        <v>5.4407319999999997</v>
      </c>
      <c r="BT189">
        <v>9.2199999999999997E-4</v>
      </c>
      <c r="BU189">
        <v>40.602908999999997</v>
      </c>
      <c r="BV189">
        <v>2.4486629999999998</v>
      </c>
      <c r="BW189">
        <v>5.082484</v>
      </c>
      <c r="BX189">
        <v>2.914847</v>
      </c>
      <c r="BY189">
        <v>35.554893</v>
      </c>
      <c r="BZ189">
        <v>0.49865799999999999</v>
      </c>
      <c r="CA189">
        <v>2020</v>
      </c>
      <c r="CB189">
        <v>3</v>
      </c>
      <c r="CC189">
        <v>22</v>
      </c>
      <c r="CD189">
        <v>22</v>
      </c>
      <c r="CE189">
        <v>22</v>
      </c>
      <c r="CF189">
        <v>15.910000999999999</v>
      </c>
      <c r="CG189">
        <v>2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0.46328799999999998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</row>
    <row r="190" spans="1:105" x14ac:dyDescent="0.25">
      <c r="A190">
        <v>189</v>
      </c>
      <c r="B190" t="s">
        <v>328</v>
      </c>
      <c r="C190">
        <v>58930.974156999997</v>
      </c>
      <c r="D190">
        <v>2.5233089999999998</v>
      </c>
      <c r="E190" s="3" t="s">
        <v>125</v>
      </c>
      <c r="F190" s="3" t="s">
        <v>106</v>
      </c>
      <c r="G190">
        <v>4.4648E-2</v>
      </c>
      <c r="H190">
        <v>202.118774</v>
      </c>
      <c r="I190">
        <v>26.612251000000001</v>
      </c>
      <c r="J190">
        <v>202.43609599999999</v>
      </c>
      <c r="K190">
        <v>25.679649000000001</v>
      </c>
      <c r="L190">
        <v>189.75595100000001</v>
      </c>
      <c r="M190">
        <v>32.302723</v>
      </c>
      <c r="N190">
        <v>30.654156</v>
      </c>
      <c r="O190">
        <v>30.654156</v>
      </c>
      <c r="P190">
        <v>28.398619</v>
      </c>
      <c r="Q190">
        <v>38.677975000000004</v>
      </c>
      <c r="R190">
        <v>3.1225130000000001</v>
      </c>
      <c r="S190">
        <v>0.58866799999999997</v>
      </c>
      <c r="T190">
        <v>0.81147599999999998</v>
      </c>
      <c r="U190">
        <v>5.5198980000000004</v>
      </c>
      <c r="V190">
        <v>265.06082199999997</v>
      </c>
      <c r="W190">
        <v>2.5239470000000002</v>
      </c>
      <c r="X190">
        <v>29.457875999999999</v>
      </c>
      <c r="Y190" t="s">
        <v>114</v>
      </c>
      <c r="Z190">
        <v>-1</v>
      </c>
      <c r="AA190">
        <v>-1</v>
      </c>
      <c r="AB190">
        <v>0.3</v>
      </c>
      <c r="AC190">
        <v>4.9250020000000001</v>
      </c>
      <c r="AD190">
        <v>0.34</v>
      </c>
      <c r="AE190">
        <v>14.436999999999999</v>
      </c>
      <c r="AF190">
        <v>0</v>
      </c>
      <c r="AG190">
        <v>330.55590799999999</v>
      </c>
      <c r="AH190">
        <v>51.132537999999997</v>
      </c>
      <c r="AI190">
        <v>318.39236499999998</v>
      </c>
      <c r="AJ190">
        <v>-31.341266999999998</v>
      </c>
      <c r="AK190">
        <v>124.17667400000001</v>
      </c>
      <c r="AL190">
        <v>35.830737999999997</v>
      </c>
      <c r="AM190">
        <v>261.77706899999998</v>
      </c>
      <c r="AN190">
        <v>54.005549999999999</v>
      </c>
      <c r="AO190">
        <v>357.72811899999999</v>
      </c>
      <c r="AP190">
        <v>51.783745000000003</v>
      </c>
      <c r="AQ190">
        <v>92.822509999999994</v>
      </c>
      <c r="AR190">
        <v>114.43032100000001</v>
      </c>
      <c r="AS190">
        <v>65.565697</v>
      </c>
      <c r="AT190">
        <v>32.351573999999999</v>
      </c>
      <c r="AU190">
        <v>118.447418</v>
      </c>
      <c r="AV190">
        <v>34.320720999999999</v>
      </c>
      <c r="AW190">
        <v>357.65594499999997</v>
      </c>
      <c r="AX190">
        <v>51.812461999999996</v>
      </c>
      <c r="AY190">
        <v>84.310103999999995</v>
      </c>
      <c r="AZ190">
        <v>110.527168</v>
      </c>
      <c r="BA190">
        <v>70.490691999999996</v>
      </c>
      <c r="BB190">
        <v>33.642547999999998</v>
      </c>
      <c r="BC190">
        <v>10.422413000000001</v>
      </c>
      <c r="BD190">
        <v>122.738533</v>
      </c>
      <c r="BE190">
        <v>54.576152999999998</v>
      </c>
      <c r="BF190">
        <v>55.023406999999999</v>
      </c>
      <c r="BG190">
        <v>54.093722999999997</v>
      </c>
      <c r="BH190">
        <v>18</v>
      </c>
      <c r="BI190">
        <v>17</v>
      </c>
      <c r="BJ190">
        <v>5.555555</v>
      </c>
      <c r="BK190">
        <v>36</v>
      </c>
      <c r="BL190">
        <v>2.673E-2</v>
      </c>
      <c r="BM190">
        <v>1.6490000000000001E-2</v>
      </c>
      <c r="BN190">
        <v>-1</v>
      </c>
      <c r="BO190">
        <v>3</v>
      </c>
      <c r="BP190">
        <v>1</v>
      </c>
      <c r="BQ190">
        <v>0.23000300000000001</v>
      </c>
      <c r="BR190">
        <v>105.113297</v>
      </c>
      <c r="BS190">
        <v>35.997821999999999</v>
      </c>
      <c r="BT190">
        <v>7.8200000000000003E-4</v>
      </c>
      <c r="BU190">
        <v>68.240677000000005</v>
      </c>
      <c r="BV190">
        <v>8.412687</v>
      </c>
      <c r="BW190">
        <v>0.97513300000000003</v>
      </c>
      <c r="BX190">
        <v>0.74556999999999995</v>
      </c>
      <c r="BY190">
        <v>1.3457699999999999</v>
      </c>
      <c r="BZ190">
        <v>0.94501000000000002</v>
      </c>
      <c r="CA190">
        <v>2020</v>
      </c>
      <c r="CB190">
        <v>3</v>
      </c>
      <c r="CC190">
        <v>22</v>
      </c>
      <c r="CD190">
        <v>23</v>
      </c>
      <c r="CE190">
        <v>22</v>
      </c>
      <c r="CF190">
        <v>47.150002000000001</v>
      </c>
      <c r="CG190">
        <v>2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0.32025500000000001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</row>
    <row r="191" spans="1:105" x14ac:dyDescent="0.25">
      <c r="A191">
        <v>190</v>
      </c>
      <c r="B191" t="s">
        <v>329</v>
      </c>
      <c r="C191">
        <v>58931.008821000003</v>
      </c>
      <c r="D191">
        <v>2.5577079999999999</v>
      </c>
      <c r="E191" s="2" t="s">
        <v>110</v>
      </c>
      <c r="F191" s="2" t="s">
        <v>111</v>
      </c>
      <c r="G191">
        <v>-0.46557300000000001</v>
      </c>
      <c r="H191">
        <v>185.48318499999999</v>
      </c>
      <c r="I191">
        <v>7.7990009999999996</v>
      </c>
      <c r="J191">
        <v>184.74299600000001</v>
      </c>
      <c r="K191">
        <v>4.4289319999999996</v>
      </c>
      <c r="L191">
        <v>182.58879099999999</v>
      </c>
      <c r="M191">
        <v>5.9488599999999998</v>
      </c>
      <c r="N191">
        <v>22.385393000000001</v>
      </c>
      <c r="O191">
        <v>22.385393000000001</v>
      </c>
      <c r="P191">
        <v>19.380784999999999</v>
      </c>
      <c r="Q191">
        <v>35.350093999999999</v>
      </c>
      <c r="R191">
        <v>1.6724190000000001</v>
      </c>
      <c r="S191">
        <v>0.61540899999999998</v>
      </c>
      <c r="T191">
        <v>0.63202400000000003</v>
      </c>
      <c r="U191">
        <v>2.1636760000000002</v>
      </c>
      <c r="V191">
        <v>269.30584700000003</v>
      </c>
      <c r="W191">
        <v>2.5630769999999998</v>
      </c>
      <c r="X191">
        <v>3.8450639999999998</v>
      </c>
      <c r="Y191" t="s">
        <v>330</v>
      </c>
      <c r="Z191">
        <v>2.33344</v>
      </c>
      <c r="AA191">
        <v>15.735718</v>
      </c>
      <c r="AB191">
        <v>0.7</v>
      </c>
      <c r="AC191">
        <v>3.889049</v>
      </c>
      <c r="AD191">
        <v>0.52</v>
      </c>
      <c r="AE191">
        <v>7.1369999999999996</v>
      </c>
      <c r="AF191">
        <v>0</v>
      </c>
      <c r="AG191">
        <v>86.191658000000004</v>
      </c>
      <c r="AH191">
        <v>49.691947999999996</v>
      </c>
      <c r="AI191">
        <v>271.44467200000003</v>
      </c>
      <c r="AJ191">
        <v>-0.65709099999999998</v>
      </c>
      <c r="AK191">
        <v>273.88110399999999</v>
      </c>
      <c r="AL191">
        <v>40.052937</v>
      </c>
      <c r="AM191">
        <v>61.794986999999999</v>
      </c>
      <c r="AN191">
        <v>29.740192</v>
      </c>
      <c r="AO191">
        <v>0.58902500000000002</v>
      </c>
      <c r="AP191">
        <v>52.475074999999997</v>
      </c>
      <c r="AQ191">
        <v>87.068291000000002</v>
      </c>
      <c r="AR191">
        <v>171.48185699999999</v>
      </c>
      <c r="AS191">
        <v>83.769783000000004</v>
      </c>
      <c r="AT191">
        <v>18.360094</v>
      </c>
      <c r="AU191">
        <v>278.91262799999998</v>
      </c>
      <c r="AV191">
        <v>39.607104999999997</v>
      </c>
      <c r="AW191">
        <v>0.58678300000000005</v>
      </c>
      <c r="AX191">
        <v>52.547477999999998</v>
      </c>
      <c r="AY191">
        <v>78.796279999999996</v>
      </c>
      <c r="AZ191">
        <v>170.61144999999999</v>
      </c>
      <c r="BA191">
        <v>87.658828999999997</v>
      </c>
      <c r="BB191">
        <v>18.457132000000001</v>
      </c>
      <c r="BC191">
        <v>11.640404999999999</v>
      </c>
      <c r="BD191">
        <v>178.561691</v>
      </c>
      <c r="BE191">
        <v>45.204085999999997</v>
      </c>
      <c r="BF191">
        <v>45.754635</v>
      </c>
      <c r="BG191">
        <v>42.415207000000002</v>
      </c>
      <c r="BH191">
        <v>27</v>
      </c>
      <c r="BI191">
        <v>22</v>
      </c>
      <c r="BJ191">
        <v>18.518518</v>
      </c>
      <c r="BK191">
        <v>40</v>
      </c>
      <c r="BL191">
        <v>2.7E-2</v>
      </c>
      <c r="BM191">
        <v>1.593E-2</v>
      </c>
      <c r="BN191">
        <v>-1</v>
      </c>
      <c r="BO191">
        <v>3</v>
      </c>
      <c r="BP191">
        <v>1</v>
      </c>
      <c r="BQ191">
        <v>0.05</v>
      </c>
      <c r="BR191">
        <v>105.113297</v>
      </c>
      <c r="BS191">
        <v>18.473108</v>
      </c>
      <c r="BT191">
        <v>3.1E-4</v>
      </c>
      <c r="BU191">
        <v>73.266602000000006</v>
      </c>
      <c r="BV191">
        <v>3.3187669999999998</v>
      </c>
      <c r="BW191">
        <v>3.4494739999999999</v>
      </c>
      <c r="BX191">
        <v>2.1387360000000002</v>
      </c>
      <c r="BY191">
        <v>6.755433</v>
      </c>
      <c r="BZ191">
        <v>0.76460700000000004</v>
      </c>
      <c r="CA191">
        <v>2020</v>
      </c>
      <c r="CB191">
        <v>3</v>
      </c>
      <c r="CC191">
        <v>23</v>
      </c>
      <c r="CD191">
        <v>0</v>
      </c>
      <c r="CE191">
        <v>12</v>
      </c>
      <c r="CF191">
        <v>42.140003</v>
      </c>
      <c r="CG191">
        <v>2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0.59793600000000002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</row>
    <row r="192" spans="1:105" x14ac:dyDescent="0.25">
      <c r="A192">
        <v>191</v>
      </c>
      <c r="B192" t="s">
        <v>331</v>
      </c>
      <c r="C192">
        <v>58931.102916000003</v>
      </c>
      <c r="D192">
        <v>2.6510820000000002</v>
      </c>
      <c r="E192" s="3" t="s">
        <v>154</v>
      </c>
      <c r="F192" s="3" t="s">
        <v>153</v>
      </c>
      <c r="G192">
        <v>-0.85213399999999995</v>
      </c>
      <c r="H192">
        <v>76.931877</v>
      </c>
      <c r="I192">
        <v>79.668610000000001</v>
      </c>
      <c r="J192">
        <v>64.620140000000006</v>
      </c>
      <c r="K192">
        <v>70.438605999999993</v>
      </c>
      <c r="L192">
        <v>77.592842000000005</v>
      </c>
      <c r="M192">
        <v>48.092964000000002</v>
      </c>
      <c r="N192">
        <v>15.36154</v>
      </c>
      <c r="O192">
        <v>15.36154</v>
      </c>
      <c r="P192">
        <v>10.588552</v>
      </c>
      <c r="Q192">
        <v>37.627617000000001</v>
      </c>
      <c r="R192">
        <v>2.4358949999999999</v>
      </c>
      <c r="S192">
        <v>0.99161500000000002</v>
      </c>
      <c r="T192">
        <v>0.592916</v>
      </c>
      <c r="U192">
        <v>3.803318</v>
      </c>
      <c r="V192">
        <v>170.449387</v>
      </c>
      <c r="W192">
        <v>2.6527669999999999</v>
      </c>
      <c r="X192">
        <v>12.112131</v>
      </c>
      <c r="Y192" t="s">
        <v>114</v>
      </c>
      <c r="Z192">
        <v>-1</v>
      </c>
      <c r="AA192">
        <v>-1</v>
      </c>
      <c r="AB192">
        <v>0.1</v>
      </c>
      <c r="AC192">
        <v>9.1059389999999993</v>
      </c>
      <c r="AD192">
        <v>1.62</v>
      </c>
      <c r="AE192">
        <v>5.8419999999999996</v>
      </c>
      <c r="AF192">
        <v>0</v>
      </c>
      <c r="AG192">
        <v>347.307343</v>
      </c>
      <c r="AH192">
        <v>-6.8446000000000007E-2</v>
      </c>
      <c r="AI192">
        <v>96.940162999999998</v>
      </c>
      <c r="AJ192">
        <v>5.4648380000000003</v>
      </c>
      <c r="AK192">
        <v>257.31503300000003</v>
      </c>
      <c r="AL192">
        <v>6.4001320000000002</v>
      </c>
      <c r="AM192">
        <v>128.70019500000001</v>
      </c>
      <c r="AN192">
        <v>34.231335000000001</v>
      </c>
      <c r="AO192">
        <v>0.33985700000000002</v>
      </c>
      <c r="AP192">
        <v>50.228484999999999</v>
      </c>
      <c r="AQ192">
        <v>87.879249999999999</v>
      </c>
      <c r="AR192">
        <v>153.19250500000001</v>
      </c>
      <c r="AS192">
        <v>93.931030000000007</v>
      </c>
      <c r="AT192">
        <v>8.8790739999999992</v>
      </c>
      <c r="AU192">
        <v>257.30410799999999</v>
      </c>
      <c r="AV192">
        <v>-2.7058</v>
      </c>
      <c r="AW192">
        <v>0.37822499999999998</v>
      </c>
      <c r="AX192">
        <v>50.064880000000002</v>
      </c>
      <c r="AY192">
        <v>71.324081000000007</v>
      </c>
      <c r="AZ192">
        <v>156.87536600000001</v>
      </c>
      <c r="BA192">
        <v>103.036964</v>
      </c>
      <c r="BB192">
        <v>8.6690009999999997</v>
      </c>
      <c r="BC192">
        <v>24.885694999999998</v>
      </c>
      <c r="BD192">
        <v>351.23297100000002</v>
      </c>
      <c r="BE192">
        <v>41.889800999999999</v>
      </c>
      <c r="BF192">
        <v>42.725802999999999</v>
      </c>
      <c r="BG192">
        <v>33.105212999999999</v>
      </c>
      <c r="BH192">
        <v>82</v>
      </c>
      <c r="BI192">
        <v>82</v>
      </c>
      <c r="BJ192">
        <v>0</v>
      </c>
      <c r="BK192">
        <v>76</v>
      </c>
      <c r="BL192">
        <v>1.61E-2</v>
      </c>
      <c r="BM192">
        <v>7.1700000000000002E-3</v>
      </c>
      <c r="BN192">
        <v>-1</v>
      </c>
      <c r="BO192">
        <v>3</v>
      </c>
      <c r="BP192">
        <v>1</v>
      </c>
      <c r="BQ192">
        <v>0.38999</v>
      </c>
      <c r="BR192">
        <v>27.946646000000001</v>
      </c>
      <c r="BS192">
        <v>8.9001959999999993</v>
      </c>
      <c r="BT192">
        <v>1.4159999999999999E-3</v>
      </c>
      <c r="BU192">
        <v>81.040771000000007</v>
      </c>
      <c r="BV192">
        <v>0.62477499999999997</v>
      </c>
      <c r="BW192">
        <v>9.7108810000000005</v>
      </c>
      <c r="BX192">
        <v>1.235422</v>
      </c>
      <c r="BY192">
        <v>8.1964740000000003</v>
      </c>
      <c r="BZ192">
        <v>0.75096399999999996</v>
      </c>
      <c r="CA192">
        <v>2020</v>
      </c>
      <c r="CB192">
        <v>3</v>
      </c>
      <c r="CC192">
        <v>23</v>
      </c>
      <c r="CD192">
        <v>2</v>
      </c>
      <c r="CE192">
        <v>28</v>
      </c>
      <c r="CF192">
        <v>11.970005</v>
      </c>
      <c r="CG192">
        <v>2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0.41052699999999998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</row>
    <row r="193" spans="1:105" x14ac:dyDescent="0.25">
      <c r="A193">
        <v>192</v>
      </c>
      <c r="B193" t="s">
        <v>332</v>
      </c>
      <c r="C193">
        <v>58931.120954999999</v>
      </c>
      <c r="D193">
        <v>2.6689820000000002</v>
      </c>
      <c r="E193" s="3" t="s">
        <v>153</v>
      </c>
      <c r="F193" s="3" t="s">
        <v>154</v>
      </c>
      <c r="G193">
        <v>0.78094600000000003</v>
      </c>
      <c r="H193">
        <v>144.69264200000001</v>
      </c>
      <c r="I193">
        <v>-19.081613999999998</v>
      </c>
      <c r="J193">
        <v>143.39086900000001</v>
      </c>
      <c r="K193">
        <v>-20.349105999999999</v>
      </c>
      <c r="L193">
        <v>153.53334000000001</v>
      </c>
      <c r="M193">
        <v>-32.781619999999997</v>
      </c>
      <c r="N193">
        <v>48.49736</v>
      </c>
      <c r="O193">
        <v>48.49736</v>
      </c>
      <c r="P193">
        <v>47.470993</v>
      </c>
      <c r="Q193">
        <v>65.378242</v>
      </c>
      <c r="R193">
        <v>-0.35566300000000001</v>
      </c>
      <c r="S193">
        <v>0.80993099999999996</v>
      </c>
      <c r="T193">
        <v>3.2772450000000002</v>
      </c>
      <c r="U193">
        <v>0</v>
      </c>
      <c r="V193">
        <v>40.942538999999996</v>
      </c>
      <c r="W193">
        <v>182.66828899999999</v>
      </c>
      <c r="X193">
        <v>27.525604000000001</v>
      </c>
      <c r="Y193" t="s">
        <v>114</v>
      </c>
      <c r="Z193">
        <v>-1</v>
      </c>
      <c r="AA193">
        <v>-1</v>
      </c>
      <c r="AB193">
        <v>2.2000000000000002</v>
      </c>
      <c r="AC193">
        <v>2.202296</v>
      </c>
      <c r="AD193">
        <v>0.2</v>
      </c>
      <c r="AE193">
        <v>10.731999999999999</v>
      </c>
      <c r="AF193">
        <v>0</v>
      </c>
      <c r="AG193">
        <v>351.89239500000002</v>
      </c>
      <c r="AH193">
        <v>-68.747437000000005</v>
      </c>
      <c r="AI193">
        <v>205.42541499999999</v>
      </c>
      <c r="AJ193">
        <v>37.223422999999997</v>
      </c>
      <c r="AK193">
        <v>274.68341099999998</v>
      </c>
      <c r="AL193">
        <v>4.9214549999999999</v>
      </c>
      <c r="AM193">
        <v>118.495773</v>
      </c>
      <c r="AN193">
        <v>27.183018000000001</v>
      </c>
      <c r="AO193">
        <v>0.66326200000000002</v>
      </c>
      <c r="AP193">
        <v>50.083866</v>
      </c>
      <c r="AQ193">
        <v>88.962029000000001</v>
      </c>
      <c r="AR193">
        <v>189.08261100000001</v>
      </c>
      <c r="AS193">
        <v>129.28358499999999</v>
      </c>
      <c r="AT193">
        <v>0.34088400000000002</v>
      </c>
      <c r="AU193">
        <v>276.753693</v>
      </c>
      <c r="AV193">
        <v>5.6965719999999997</v>
      </c>
      <c r="AW193">
        <v>0.78791299999999997</v>
      </c>
      <c r="AX193">
        <v>50.112079999999999</v>
      </c>
      <c r="AY193">
        <v>90.438209999999998</v>
      </c>
      <c r="AZ193">
        <v>195.36823999999999</v>
      </c>
      <c r="BA193">
        <v>131.48588599999999</v>
      </c>
      <c r="BB193">
        <v>0.32991700000000002</v>
      </c>
      <c r="BC193">
        <v>9.6994720000000001</v>
      </c>
      <c r="BD193">
        <v>250.360962</v>
      </c>
      <c r="BE193">
        <v>-8.6399019999999993</v>
      </c>
      <c r="BF193">
        <v>-7.681915</v>
      </c>
      <c r="BG193">
        <v>-9.4374920000000007</v>
      </c>
      <c r="BH193">
        <v>11</v>
      </c>
      <c r="BI193">
        <v>8</v>
      </c>
      <c r="BJ193">
        <v>27.272728000000001</v>
      </c>
      <c r="BK193">
        <v>22</v>
      </c>
      <c r="BL193">
        <v>1.4800000000000001E-2</v>
      </c>
      <c r="BM193">
        <v>7.3600000000000002E-3</v>
      </c>
      <c r="BN193">
        <v>-1</v>
      </c>
      <c r="BO193">
        <v>3</v>
      </c>
      <c r="BP193">
        <v>1</v>
      </c>
      <c r="BQ193">
        <v>0.180003</v>
      </c>
      <c r="BR193">
        <v>27.946843999999999</v>
      </c>
      <c r="BS193">
        <v>0.44041000000000002</v>
      </c>
      <c r="BT193">
        <v>6.6699999999999995E-4</v>
      </c>
      <c r="BU193">
        <v>49.005676000000001</v>
      </c>
      <c r="BV193">
        <v>7.3847300000000002</v>
      </c>
      <c r="BW193">
        <v>1.76301</v>
      </c>
      <c r="BX193">
        <v>132.19354200000001</v>
      </c>
      <c r="BY193">
        <v>22957.837890999999</v>
      </c>
      <c r="BZ193">
        <v>9.3999999999999994E-5</v>
      </c>
      <c r="CA193">
        <v>2020</v>
      </c>
      <c r="CB193">
        <v>3</v>
      </c>
      <c r="CC193">
        <v>23</v>
      </c>
      <c r="CD193">
        <v>2</v>
      </c>
      <c r="CE193">
        <v>54</v>
      </c>
      <c r="CF193">
        <v>10.529999</v>
      </c>
      <c r="CG193">
        <v>2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-2.8116539999999999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</row>
    <row r="194" spans="1:105" x14ac:dyDescent="0.25">
      <c r="A194">
        <v>193</v>
      </c>
      <c r="B194" t="s">
        <v>333</v>
      </c>
      <c r="C194">
        <v>58931.893195999997</v>
      </c>
      <c r="D194">
        <v>3.4351060000000002</v>
      </c>
      <c r="E194" s="2" t="s">
        <v>110</v>
      </c>
      <c r="F194" s="2" t="s">
        <v>111</v>
      </c>
      <c r="G194">
        <v>0.65923399999999999</v>
      </c>
      <c r="H194">
        <v>192.81944300000001</v>
      </c>
      <c r="I194">
        <v>-1.474148</v>
      </c>
      <c r="J194">
        <v>194.07626300000001</v>
      </c>
      <c r="K194">
        <v>-4.2639449999999997</v>
      </c>
      <c r="L194">
        <v>194.60792499999999</v>
      </c>
      <c r="M194">
        <v>1.618784</v>
      </c>
      <c r="N194">
        <v>28.616001000000001</v>
      </c>
      <c r="O194">
        <v>28.616001000000001</v>
      </c>
      <c r="P194">
        <v>26.100853000000001</v>
      </c>
      <c r="Q194">
        <v>35.314266000000003</v>
      </c>
      <c r="R194">
        <v>1.6658809999999999</v>
      </c>
      <c r="S194">
        <v>0.39168399999999998</v>
      </c>
      <c r="T194">
        <v>0.76487899999999998</v>
      </c>
      <c r="U194">
        <v>2.1510009999999999</v>
      </c>
      <c r="V194">
        <v>293.63391100000001</v>
      </c>
      <c r="W194">
        <v>3.447438</v>
      </c>
      <c r="X194">
        <v>1.700491</v>
      </c>
      <c r="Y194" t="s">
        <v>114</v>
      </c>
      <c r="Z194">
        <v>-1</v>
      </c>
      <c r="AA194">
        <v>-1</v>
      </c>
      <c r="AB194">
        <v>1.2</v>
      </c>
      <c r="AC194">
        <v>2.9691049999999999</v>
      </c>
      <c r="AD194">
        <v>0.36</v>
      </c>
      <c r="AE194">
        <v>8.3320000000000007</v>
      </c>
      <c r="AF194">
        <v>0</v>
      </c>
      <c r="AG194">
        <v>103.342308</v>
      </c>
      <c r="AH194">
        <v>19.524857000000001</v>
      </c>
      <c r="AI194">
        <v>318.574432</v>
      </c>
      <c r="AJ194">
        <v>-30.360903</v>
      </c>
      <c r="AK194">
        <v>207.54361</v>
      </c>
      <c r="AL194">
        <v>34.676825999999998</v>
      </c>
      <c r="AM194">
        <v>83.613190000000003</v>
      </c>
      <c r="AN194">
        <v>40.961727000000003</v>
      </c>
      <c r="AO194">
        <v>0.102967</v>
      </c>
      <c r="AP194">
        <v>51.957763999999997</v>
      </c>
      <c r="AQ194">
        <v>87.866234000000006</v>
      </c>
      <c r="AR194">
        <v>132.214935</v>
      </c>
      <c r="AS194">
        <v>38.696548</v>
      </c>
      <c r="AT194">
        <v>5.713012</v>
      </c>
      <c r="AU194">
        <v>209.06163000000001</v>
      </c>
      <c r="AV194">
        <v>37.380378999999998</v>
      </c>
      <c r="AW194">
        <v>359.99069200000002</v>
      </c>
      <c r="AX194">
        <v>52.005920000000003</v>
      </c>
      <c r="AY194">
        <v>83.946708999999998</v>
      </c>
      <c r="AZ194">
        <v>124.341621</v>
      </c>
      <c r="BA194">
        <v>41.665652999999999</v>
      </c>
      <c r="BB194">
        <v>6.0760810000000003</v>
      </c>
      <c r="BC194">
        <v>10.301761000000001</v>
      </c>
      <c r="BD194">
        <v>124.70745100000001</v>
      </c>
      <c r="BE194">
        <v>22.17728</v>
      </c>
      <c r="BF194">
        <v>21.502537</v>
      </c>
      <c r="BG194">
        <v>18.464737</v>
      </c>
      <c r="BH194">
        <v>19</v>
      </c>
      <c r="BI194">
        <v>13</v>
      </c>
      <c r="BJ194">
        <v>31.578946999999999</v>
      </c>
      <c r="BK194">
        <v>31</v>
      </c>
      <c r="BL194">
        <v>2.2179999999999998E-2</v>
      </c>
      <c r="BM194">
        <v>2.2329999999999999E-2</v>
      </c>
      <c r="BN194">
        <v>-1</v>
      </c>
      <c r="BO194">
        <v>3</v>
      </c>
      <c r="BP194">
        <v>1</v>
      </c>
      <c r="BQ194">
        <v>9.9999000000000005E-2</v>
      </c>
      <c r="BR194">
        <v>105.113434</v>
      </c>
      <c r="BS194">
        <v>9.1618239999999993</v>
      </c>
      <c r="BT194">
        <v>5.04E-4</v>
      </c>
      <c r="BU194">
        <v>14.022062999999999</v>
      </c>
      <c r="BV194">
        <v>1.652074</v>
      </c>
      <c r="BW194">
        <v>3.0591330000000001</v>
      </c>
      <c r="BX194">
        <v>2.4063219999999998</v>
      </c>
      <c r="BY194">
        <v>22.733540000000001</v>
      </c>
      <c r="BZ194">
        <v>0.57386000000000004</v>
      </c>
      <c r="CA194">
        <v>2020</v>
      </c>
      <c r="CB194">
        <v>3</v>
      </c>
      <c r="CC194">
        <v>23</v>
      </c>
      <c r="CD194">
        <v>21</v>
      </c>
      <c r="CE194">
        <v>26</v>
      </c>
      <c r="CF194">
        <v>12.100002</v>
      </c>
      <c r="CG194">
        <v>2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0.60028300000000001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</row>
    <row r="195" spans="1:105" x14ac:dyDescent="0.25">
      <c r="A195">
        <v>194</v>
      </c>
      <c r="B195" t="s">
        <v>334</v>
      </c>
      <c r="C195">
        <v>58932.123792999999</v>
      </c>
      <c r="D195">
        <v>3.6638130000000002</v>
      </c>
      <c r="E195" s="2" t="s">
        <v>111</v>
      </c>
      <c r="F195" s="2" t="s">
        <v>110</v>
      </c>
      <c r="G195">
        <v>0.58511599999999997</v>
      </c>
      <c r="H195">
        <v>241.95373499999999</v>
      </c>
      <c r="I195">
        <v>61.146099</v>
      </c>
      <c r="J195">
        <v>241.573059</v>
      </c>
      <c r="K195">
        <v>61.660285999999999</v>
      </c>
      <c r="L195">
        <v>188.29733300000001</v>
      </c>
      <c r="M195">
        <v>76.799187000000003</v>
      </c>
      <c r="N195">
        <v>27.837983999999999</v>
      </c>
      <c r="O195">
        <v>27.837983999999999</v>
      </c>
      <c r="P195">
        <v>25.452745</v>
      </c>
      <c r="Q195">
        <v>38.822772999999998</v>
      </c>
      <c r="R195">
        <v>3.2579039999999999</v>
      </c>
      <c r="S195">
        <v>0.97447899999999998</v>
      </c>
      <c r="T195">
        <v>0.70088799999999996</v>
      </c>
      <c r="U195">
        <v>5.8827740000000004</v>
      </c>
      <c r="V195">
        <v>199.07922400000001</v>
      </c>
      <c r="W195">
        <v>3.6642480000000002</v>
      </c>
      <c r="X195">
        <v>40.114780000000003</v>
      </c>
      <c r="Y195" t="s">
        <v>114</v>
      </c>
      <c r="Z195">
        <v>-1</v>
      </c>
      <c r="AA195">
        <v>-1</v>
      </c>
      <c r="AB195">
        <v>1.4</v>
      </c>
      <c r="AC195">
        <v>0.88608799999999999</v>
      </c>
      <c r="AD195">
        <v>0.12</v>
      </c>
      <c r="AE195">
        <v>7.3250000000000002</v>
      </c>
      <c r="AF195">
        <v>0</v>
      </c>
      <c r="AG195">
        <v>118.58712</v>
      </c>
      <c r="AH195">
        <v>16.858698</v>
      </c>
      <c r="AI195">
        <v>59.900948</v>
      </c>
      <c r="AJ195">
        <v>-21.3018</v>
      </c>
      <c r="AK195">
        <v>347.08398399999999</v>
      </c>
      <c r="AL195">
        <v>65.425301000000005</v>
      </c>
      <c r="AM195">
        <v>25.389029000000001</v>
      </c>
      <c r="AN195">
        <v>34.726891000000002</v>
      </c>
      <c r="AO195">
        <v>-0.27329999999999999</v>
      </c>
      <c r="AP195">
        <v>51.904513999999999</v>
      </c>
      <c r="AQ195">
        <v>84.832199000000003</v>
      </c>
      <c r="AR195">
        <v>146.772415</v>
      </c>
      <c r="AS195">
        <v>41.915215000000003</v>
      </c>
      <c r="AT195">
        <v>40.753700000000002</v>
      </c>
      <c r="AU195">
        <v>348.534424</v>
      </c>
      <c r="AV195">
        <v>64.783112000000003</v>
      </c>
      <c r="AW195">
        <v>-0.27952199999999999</v>
      </c>
      <c r="AX195">
        <v>51.899242000000001</v>
      </c>
      <c r="AY195">
        <v>81.571731999999997</v>
      </c>
      <c r="AZ195">
        <v>144.30384799999999</v>
      </c>
      <c r="BA195">
        <v>42.801304000000002</v>
      </c>
      <c r="BB195">
        <v>41.603825000000001</v>
      </c>
      <c r="BC195">
        <v>3.3405580000000001</v>
      </c>
      <c r="BD195">
        <v>36.935757000000002</v>
      </c>
      <c r="BE195">
        <v>77.437186999999994</v>
      </c>
      <c r="BF195">
        <v>76.383071999999999</v>
      </c>
      <c r="BG195">
        <v>76.176383999999999</v>
      </c>
      <c r="BH195">
        <v>7</v>
      </c>
      <c r="BI195">
        <v>7</v>
      </c>
      <c r="BJ195">
        <v>0</v>
      </c>
      <c r="BK195">
        <v>87</v>
      </c>
      <c r="BL195">
        <v>2.0410000000000001E-2</v>
      </c>
      <c r="BM195">
        <v>1.0840000000000001E-2</v>
      </c>
      <c r="BN195">
        <v>-1</v>
      </c>
      <c r="BO195">
        <v>3</v>
      </c>
      <c r="BP195">
        <v>1</v>
      </c>
      <c r="BQ195">
        <v>0.53999900000000001</v>
      </c>
      <c r="BR195">
        <v>105.11901899999999</v>
      </c>
      <c r="BS195">
        <v>77.745461000000006</v>
      </c>
      <c r="BT195">
        <v>1.6609999999999999E-3</v>
      </c>
      <c r="BU195">
        <v>25.409396999999998</v>
      </c>
      <c r="BV195">
        <v>0.46384999999999998</v>
      </c>
      <c r="BW195">
        <v>0.54551400000000005</v>
      </c>
      <c r="BX195">
        <v>1.2113860000000001</v>
      </c>
      <c r="BY195">
        <v>1.824443</v>
      </c>
      <c r="BZ195">
        <v>0.94132800000000005</v>
      </c>
      <c r="CA195">
        <v>2020</v>
      </c>
      <c r="CB195">
        <v>3</v>
      </c>
      <c r="CC195">
        <v>24</v>
      </c>
      <c r="CD195">
        <v>2</v>
      </c>
      <c r="CE195">
        <v>58</v>
      </c>
      <c r="CF195">
        <v>15.719998</v>
      </c>
      <c r="CG195">
        <v>2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0.306946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</row>
    <row r="196" spans="1:105" x14ac:dyDescent="0.25">
      <c r="A196">
        <v>195</v>
      </c>
      <c r="B196" t="s">
        <v>335</v>
      </c>
      <c r="C196">
        <v>58932.912701000001</v>
      </c>
      <c r="D196">
        <v>4.4460259999999998</v>
      </c>
      <c r="E196" s="2" t="s">
        <v>111</v>
      </c>
      <c r="F196" s="2" t="s">
        <v>110</v>
      </c>
      <c r="G196">
        <v>-1.6560170000000001</v>
      </c>
      <c r="H196">
        <v>118.323807</v>
      </c>
      <c r="I196">
        <v>83.925514000000007</v>
      </c>
      <c r="J196">
        <v>63.566578</v>
      </c>
      <c r="K196">
        <v>85.195175000000006</v>
      </c>
      <c r="L196">
        <v>85.416916000000001</v>
      </c>
      <c r="M196">
        <v>62.183197</v>
      </c>
      <c r="N196">
        <v>16.786519999999999</v>
      </c>
      <c r="O196">
        <v>16.786519999999999</v>
      </c>
      <c r="P196">
        <v>12.547736</v>
      </c>
      <c r="Q196">
        <v>37.371296000000001</v>
      </c>
      <c r="R196">
        <v>2.3193269999999999</v>
      </c>
      <c r="S196">
        <v>0.99531499999999995</v>
      </c>
      <c r="T196">
        <v>0.57086000000000003</v>
      </c>
      <c r="U196">
        <v>3.5336020000000001</v>
      </c>
      <c r="V196">
        <v>174.04139699999999</v>
      </c>
      <c r="W196">
        <v>4.4471980000000002</v>
      </c>
      <c r="X196">
        <v>17.288065</v>
      </c>
      <c r="Y196" t="s">
        <v>114</v>
      </c>
      <c r="Z196">
        <v>-1</v>
      </c>
      <c r="AA196">
        <v>-1</v>
      </c>
      <c r="AB196">
        <v>-0.6</v>
      </c>
      <c r="AC196">
        <v>1.9034930000000001</v>
      </c>
      <c r="AD196">
        <v>0.64</v>
      </c>
      <c r="AE196">
        <v>2.9140000000000001</v>
      </c>
      <c r="AF196">
        <v>0</v>
      </c>
      <c r="AG196">
        <v>35.133437999999998</v>
      </c>
      <c r="AH196">
        <v>-0.72292999999999996</v>
      </c>
      <c r="AI196">
        <v>94.086098000000007</v>
      </c>
      <c r="AJ196">
        <v>3.65381</v>
      </c>
      <c r="AK196">
        <v>306.81896999999998</v>
      </c>
      <c r="AL196">
        <v>66.781311000000002</v>
      </c>
      <c r="AM196">
        <v>10.345141</v>
      </c>
      <c r="AN196">
        <v>29.128489999999999</v>
      </c>
      <c r="AO196">
        <v>359.36108400000001</v>
      </c>
      <c r="AP196">
        <v>52.216503000000003</v>
      </c>
      <c r="AQ196">
        <v>83.081299000000001</v>
      </c>
      <c r="AR196">
        <v>167.27470400000001</v>
      </c>
      <c r="AS196">
        <v>29.239529000000001</v>
      </c>
      <c r="AT196">
        <v>28.573827999999999</v>
      </c>
      <c r="AU196">
        <v>306.67550699999998</v>
      </c>
      <c r="AV196">
        <v>64.878722999999994</v>
      </c>
      <c r="AW196">
        <v>359.36987299999998</v>
      </c>
      <c r="AX196">
        <v>52.164828999999997</v>
      </c>
      <c r="AY196">
        <v>74.053116000000003</v>
      </c>
      <c r="AZ196">
        <v>157.987381</v>
      </c>
      <c r="BA196">
        <v>31.143022999999999</v>
      </c>
      <c r="BB196">
        <v>30.424810000000001</v>
      </c>
      <c r="BC196">
        <v>10.743373</v>
      </c>
      <c r="BD196">
        <v>354.11025999999998</v>
      </c>
      <c r="BE196">
        <v>57.323433000000001</v>
      </c>
      <c r="BF196">
        <v>56.075935000000001</v>
      </c>
      <c r="BG196">
        <v>51.081561999999998</v>
      </c>
      <c r="BH196">
        <v>33</v>
      </c>
      <c r="BI196">
        <v>29</v>
      </c>
      <c r="BJ196">
        <v>12.121212</v>
      </c>
      <c r="BK196">
        <v>70</v>
      </c>
      <c r="BL196">
        <v>2.2349999999999998E-2</v>
      </c>
      <c r="BM196">
        <v>8.2699999999999996E-3</v>
      </c>
      <c r="BN196">
        <v>-1</v>
      </c>
      <c r="BO196">
        <v>3</v>
      </c>
      <c r="BP196">
        <v>1</v>
      </c>
      <c r="BQ196">
        <v>1.229997</v>
      </c>
      <c r="BR196">
        <v>105.11901899999999</v>
      </c>
      <c r="BS196">
        <v>78.287170000000003</v>
      </c>
      <c r="BT196">
        <v>5.0629999999999998E-3</v>
      </c>
      <c r="BU196">
        <v>53.233196</v>
      </c>
      <c r="BV196">
        <v>2.294708</v>
      </c>
      <c r="BW196">
        <v>5.1228860000000003</v>
      </c>
      <c r="BX196">
        <v>0.39749899999999999</v>
      </c>
      <c r="BY196">
        <v>0.78493900000000005</v>
      </c>
      <c r="BZ196">
        <v>0.94881000000000004</v>
      </c>
      <c r="CA196">
        <v>2020</v>
      </c>
      <c r="CB196">
        <v>3</v>
      </c>
      <c r="CC196">
        <v>24</v>
      </c>
      <c r="CD196">
        <v>21</v>
      </c>
      <c r="CE196">
        <v>54</v>
      </c>
      <c r="CF196">
        <v>17.350003999999998</v>
      </c>
      <c r="CG196">
        <v>2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0.43115999999999999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</row>
    <row r="197" spans="1:105" x14ac:dyDescent="0.25">
      <c r="A197">
        <v>196</v>
      </c>
      <c r="B197" t="s">
        <v>336</v>
      </c>
      <c r="C197">
        <v>58933.058788000002</v>
      </c>
      <c r="D197">
        <v>4.5908350000000002</v>
      </c>
      <c r="E197" s="3" t="s">
        <v>154</v>
      </c>
      <c r="F197" s="3" t="s">
        <v>191</v>
      </c>
      <c r="G197">
        <v>1.226127</v>
      </c>
      <c r="H197">
        <v>169.82666</v>
      </c>
      <c r="I197">
        <v>1.320827</v>
      </c>
      <c r="J197">
        <v>160.60136399999999</v>
      </c>
      <c r="K197">
        <v>-15.207710000000001</v>
      </c>
      <c r="L197">
        <v>168.22522000000001</v>
      </c>
      <c r="M197">
        <v>-21.601870999999999</v>
      </c>
      <c r="N197">
        <v>13.136170999999999</v>
      </c>
      <c r="O197">
        <v>13.136170999999999</v>
      </c>
      <c r="P197">
        <v>7.2034250000000002</v>
      </c>
      <c r="Q197">
        <v>32.418671000000003</v>
      </c>
      <c r="R197">
        <v>1.218477</v>
      </c>
      <c r="S197">
        <v>0.90701399999999999</v>
      </c>
      <c r="T197">
        <v>0.25561699999999998</v>
      </c>
      <c r="U197">
        <v>1.3455520000000001</v>
      </c>
      <c r="V197">
        <v>56.272888000000002</v>
      </c>
      <c r="W197">
        <v>184.58647199999999</v>
      </c>
      <c r="X197">
        <v>4.7728229999999998</v>
      </c>
      <c r="Y197" t="s">
        <v>114</v>
      </c>
      <c r="Z197">
        <v>-1</v>
      </c>
      <c r="AA197">
        <v>-1</v>
      </c>
      <c r="AB197">
        <v>1.5</v>
      </c>
      <c r="AC197">
        <v>1.631634</v>
      </c>
      <c r="AD197">
        <v>0.32</v>
      </c>
      <c r="AE197">
        <v>5.0410000000000004</v>
      </c>
      <c r="AF197">
        <v>0</v>
      </c>
      <c r="AG197">
        <v>49.666088000000002</v>
      </c>
      <c r="AH197">
        <v>87.372474999999994</v>
      </c>
      <c r="AI197">
        <v>235.06369000000001</v>
      </c>
      <c r="AJ197">
        <v>25.176161</v>
      </c>
      <c r="AK197">
        <v>219.245361</v>
      </c>
      <c r="AL197">
        <v>2.584247</v>
      </c>
      <c r="AM197">
        <v>158.53857400000001</v>
      </c>
      <c r="AN197">
        <v>39.629570000000001</v>
      </c>
      <c r="AO197">
        <v>-0.57862400000000003</v>
      </c>
      <c r="AP197">
        <v>50.208916000000002</v>
      </c>
      <c r="AQ197">
        <v>74.19117</v>
      </c>
      <c r="AR197">
        <v>114.787155</v>
      </c>
      <c r="AS197">
        <v>49.403229000000003</v>
      </c>
      <c r="AT197">
        <v>1.698923</v>
      </c>
      <c r="AU197">
        <v>220.87861599999999</v>
      </c>
      <c r="AV197">
        <v>2.5967259999999999</v>
      </c>
      <c r="AW197">
        <v>-0.54628100000000002</v>
      </c>
      <c r="AX197">
        <v>50.232162000000002</v>
      </c>
      <c r="AY197">
        <v>71.880836000000002</v>
      </c>
      <c r="AZ197">
        <v>112.09719800000001</v>
      </c>
      <c r="BA197">
        <v>51.034863000000001</v>
      </c>
      <c r="BB197">
        <v>1.7397039999999999</v>
      </c>
      <c r="BC197">
        <v>4.2035749999999998</v>
      </c>
      <c r="BD197">
        <v>221.31738300000001</v>
      </c>
      <c r="BE197">
        <v>33.363658999999998</v>
      </c>
      <c r="BF197">
        <v>32.995632000000001</v>
      </c>
      <c r="BG197">
        <v>14.163258000000001</v>
      </c>
      <c r="BH197">
        <v>17</v>
      </c>
      <c r="BI197">
        <v>16</v>
      </c>
      <c r="BJ197">
        <v>5.8823530000000002</v>
      </c>
      <c r="BK197">
        <v>72</v>
      </c>
      <c r="BL197">
        <v>1.8599999999999998E-2</v>
      </c>
      <c r="BM197">
        <v>1.022E-2</v>
      </c>
      <c r="BN197">
        <v>-1</v>
      </c>
      <c r="BO197">
        <v>3</v>
      </c>
      <c r="BP197">
        <v>1</v>
      </c>
      <c r="BQ197">
        <v>2.299998</v>
      </c>
      <c r="BR197">
        <v>53.911568000000003</v>
      </c>
      <c r="BS197">
        <v>2.2377050000000001</v>
      </c>
      <c r="BT197">
        <v>8.7690000000000008E-3</v>
      </c>
      <c r="BU197">
        <v>-54.472340000000003</v>
      </c>
      <c r="BV197">
        <v>37.303406000000003</v>
      </c>
      <c r="BW197">
        <v>18.879711</v>
      </c>
      <c r="BX197">
        <v>16.885687000000001</v>
      </c>
      <c r="BY197">
        <v>556.202271</v>
      </c>
      <c r="BZ197">
        <v>5.3516000000000001E-2</v>
      </c>
      <c r="CA197">
        <v>2020</v>
      </c>
      <c r="CB197">
        <v>3</v>
      </c>
      <c r="CC197">
        <v>25</v>
      </c>
      <c r="CD197">
        <v>1</v>
      </c>
      <c r="CE197">
        <v>24</v>
      </c>
      <c r="CF197">
        <v>39.299999</v>
      </c>
      <c r="CG197">
        <v>2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0.82069700000000001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</row>
    <row r="198" spans="1:105" x14ac:dyDescent="0.25">
      <c r="A198">
        <v>197</v>
      </c>
      <c r="B198" t="s">
        <v>337</v>
      </c>
      <c r="C198">
        <v>58933.170678000002</v>
      </c>
      <c r="D198">
        <v>4.7017369999999996</v>
      </c>
      <c r="E198" s="3" t="s">
        <v>106</v>
      </c>
      <c r="F198" s="3" t="s">
        <v>191</v>
      </c>
      <c r="G198">
        <v>1.465867</v>
      </c>
      <c r="H198">
        <v>293.706818</v>
      </c>
      <c r="I198">
        <v>38.593609000000001</v>
      </c>
      <c r="J198">
        <v>294.026611</v>
      </c>
      <c r="K198">
        <v>38.401843999999997</v>
      </c>
      <c r="L198">
        <v>307.91476399999999</v>
      </c>
      <c r="M198">
        <v>58.717167000000003</v>
      </c>
      <c r="N198">
        <v>44.931674999999998</v>
      </c>
      <c r="O198">
        <v>44.931674999999998</v>
      </c>
      <c r="P198">
        <v>43.337626999999998</v>
      </c>
      <c r="Q198">
        <v>40.719402000000002</v>
      </c>
      <c r="R198">
        <v>7.3372890000000002</v>
      </c>
      <c r="S198">
        <v>0.89161299999999999</v>
      </c>
      <c r="T198">
        <v>0.87848199999999999</v>
      </c>
      <c r="U198">
        <v>19.882828</v>
      </c>
      <c r="V198">
        <v>140.65176400000001</v>
      </c>
      <c r="W198">
        <v>4.7018459999999997</v>
      </c>
      <c r="X198">
        <v>73.394722000000002</v>
      </c>
      <c r="Y198" t="s">
        <v>114</v>
      </c>
      <c r="Z198">
        <v>-1</v>
      </c>
      <c r="AA198">
        <v>-1</v>
      </c>
      <c r="AB198">
        <v>1.7</v>
      </c>
      <c r="AC198">
        <v>1.6083970000000001</v>
      </c>
      <c r="AD198">
        <v>0.08</v>
      </c>
      <c r="AE198">
        <v>22.639999</v>
      </c>
      <c r="AF198">
        <v>0</v>
      </c>
      <c r="AG198">
        <v>35.715156999999998</v>
      </c>
      <c r="AH198">
        <v>14.610954</v>
      </c>
      <c r="AI198">
        <v>0.29942400000000002</v>
      </c>
      <c r="AJ198">
        <v>-38.55415</v>
      </c>
      <c r="AK198">
        <v>179.64373800000001</v>
      </c>
      <c r="AL198">
        <v>72.127128999999996</v>
      </c>
      <c r="AM198">
        <v>330.69512900000001</v>
      </c>
      <c r="AN198">
        <v>55.591681999999999</v>
      </c>
      <c r="AO198">
        <v>-1.4581090000000001</v>
      </c>
      <c r="AP198">
        <v>51.432709000000003</v>
      </c>
      <c r="AQ198">
        <v>92.998405000000005</v>
      </c>
      <c r="AR198">
        <v>112.27172899999999</v>
      </c>
      <c r="AS198">
        <v>60.272137000000001</v>
      </c>
      <c r="AT198">
        <v>21.121338000000002</v>
      </c>
      <c r="AU198">
        <v>175.564606</v>
      </c>
      <c r="AV198">
        <v>71.158484999999999</v>
      </c>
      <c r="AW198">
        <v>-1.4886440000000001</v>
      </c>
      <c r="AX198">
        <v>51.432246999999997</v>
      </c>
      <c r="AY198">
        <v>90.121109000000004</v>
      </c>
      <c r="AZ198">
        <v>110.49826</v>
      </c>
      <c r="BA198">
        <v>61.880504999999999</v>
      </c>
      <c r="BB198">
        <v>21.476997000000001</v>
      </c>
      <c r="BC198">
        <v>3.5945339999999999</v>
      </c>
      <c r="BD198">
        <v>89.678725999999997</v>
      </c>
      <c r="BE198">
        <v>52.740344999999998</v>
      </c>
      <c r="BF198">
        <v>53.011028000000003</v>
      </c>
      <c r="BG198">
        <v>52.695765999999999</v>
      </c>
      <c r="BH198">
        <v>5</v>
      </c>
      <c r="BI198">
        <v>5</v>
      </c>
      <c r="BJ198">
        <v>0</v>
      </c>
      <c r="BK198">
        <v>78</v>
      </c>
      <c r="BL198">
        <v>2.5510000000000001E-2</v>
      </c>
      <c r="BM198">
        <v>1.4710000000000001E-2</v>
      </c>
      <c r="BN198">
        <v>-1</v>
      </c>
      <c r="BO198">
        <v>3</v>
      </c>
      <c r="BP198">
        <v>1</v>
      </c>
      <c r="BQ198">
        <v>2.1299920000000001</v>
      </c>
      <c r="BR198">
        <v>53.911568000000003</v>
      </c>
      <c r="BS198">
        <v>24.518929</v>
      </c>
      <c r="BT198">
        <v>1.0090669999999999</v>
      </c>
      <c r="BU198">
        <v>53.333793999999997</v>
      </c>
      <c r="BV198">
        <v>3.5839669999999999</v>
      </c>
      <c r="BW198">
        <v>0.31530000000000002</v>
      </c>
      <c r="BX198">
        <v>2.9748739999999998</v>
      </c>
      <c r="BY198">
        <v>8.1252379999999995</v>
      </c>
      <c r="BZ198">
        <v>0.75309199999999998</v>
      </c>
      <c r="CA198">
        <v>2020</v>
      </c>
      <c r="CB198">
        <v>3</v>
      </c>
      <c r="CC198">
        <v>25</v>
      </c>
      <c r="CD198">
        <v>4</v>
      </c>
      <c r="CE198">
        <v>5</v>
      </c>
      <c r="CF198">
        <v>46.610004000000004</v>
      </c>
      <c r="CG198">
        <v>2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0.13628999999999999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</row>
    <row r="199" spans="1:105" x14ac:dyDescent="0.25">
      <c r="A199">
        <v>198</v>
      </c>
      <c r="B199" t="s">
        <v>338</v>
      </c>
      <c r="C199">
        <v>58933.961593</v>
      </c>
      <c r="D199">
        <v>5.4854630000000002</v>
      </c>
      <c r="E199" s="3" t="s">
        <v>106</v>
      </c>
      <c r="F199" s="3" t="s">
        <v>191</v>
      </c>
      <c r="G199">
        <v>1.7124299999999999</v>
      </c>
      <c r="H199">
        <v>184.53538499999999</v>
      </c>
      <c r="I199">
        <v>8.9768000000000008</v>
      </c>
      <c r="J199">
        <v>184.541809</v>
      </c>
      <c r="K199">
        <v>6.1502480000000004</v>
      </c>
      <c r="L199">
        <v>181.712006</v>
      </c>
      <c r="M199">
        <v>7.4471350000000003</v>
      </c>
      <c r="N199">
        <v>23.678511</v>
      </c>
      <c r="O199">
        <v>23.678511</v>
      </c>
      <c r="P199">
        <v>20.787272999999999</v>
      </c>
      <c r="Q199">
        <v>37.216701999999998</v>
      </c>
      <c r="R199">
        <v>2.2544949999999999</v>
      </c>
      <c r="S199">
        <v>0.64232</v>
      </c>
      <c r="T199">
        <v>0.71509400000000001</v>
      </c>
      <c r="U199">
        <v>3.3864800000000002</v>
      </c>
      <c r="V199">
        <v>261.61148100000003</v>
      </c>
      <c r="W199">
        <v>5.4895849999999999</v>
      </c>
      <c r="X199">
        <v>4.9325489999999999</v>
      </c>
      <c r="Y199" t="s">
        <v>330</v>
      </c>
      <c r="Z199">
        <v>4.0197029999999998</v>
      </c>
      <c r="AA199">
        <v>9.6205499999999997</v>
      </c>
      <c r="AB199">
        <v>1.6</v>
      </c>
      <c r="AC199">
        <v>5.4428640000000001</v>
      </c>
      <c r="AD199">
        <v>0.4</v>
      </c>
      <c r="AE199">
        <v>13.521000000000001</v>
      </c>
      <c r="AF199">
        <v>0</v>
      </c>
      <c r="AG199">
        <v>98.582877999999994</v>
      </c>
      <c r="AH199">
        <v>-24.075865</v>
      </c>
      <c r="AI199">
        <v>286.79013099999997</v>
      </c>
      <c r="AJ199">
        <v>-14.116137</v>
      </c>
      <c r="AK199">
        <v>123.442993</v>
      </c>
      <c r="AL199">
        <v>63.782153999999998</v>
      </c>
      <c r="AM199">
        <v>315.782196</v>
      </c>
      <c r="AN199">
        <v>63.261749000000002</v>
      </c>
      <c r="AO199">
        <v>358.55078099999997</v>
      </c>
      <c r="AP199">
        <v>51.218468000000001</v>
      </c>
      <c r="AQ199">
        <v>86.241692</v>
      </c>
      <c r="AR199">
        <v>96.405258000000003</v>
      </c>
      <c r="AS199">
        <v>69.456130999999999</v>
      </c>
      <c r="AT199">
        <v>31.956468999999998</v>
      </c>
      <c r="AU199">
        <v>111.301796</v>
      </c>
      <c r="AV199">
        <v>65.389565000000005</v>
      </c>
      <c r="AW199">
        <v>358.51440400000001</v>
      </c>
      <c r="AX199">
        <v>51.272297000000002</v>
      </c>
      <c r="AY199">
        <v>79.458443000000003</v>
      </c>
      <c r="AZ199">
        <v>93.503082000000006</v>
      </c>
      <c r="BA199">
        <v>74.898994000000002</v>
      </c>
      <c r="BB199">
        <v>33.072688999999997</v>
      </c>
      <c r="BC199">
        <v>9.4714050000000007</v>
      </c>
      <c r="BD199">
        <v>156.792145</v>
      </c>
      <c r="BE199">
        <v>45.594841000000002</v>
      </c>
      <c r="BF199">
        <v>45.957638000000003</v>
      </c>
      <c r="BG199">
        <v>43.212539999999997</v>
      </c>
      <c r="BH199">
        <v>21</v>
      </c>
      <c r="BI199">
        <v>17</v>
      </c>
      <c r="BJ199">
        <v>19.047619000000001</v>
      </c>
      <c r="BK199">
        <v>108</v>
      </c>
      <c r="BL199">
        <v>2.3349999999999999E-2</v>
      </c>
      <c r="BM199">
        <v>1.5730000000000001E-2</v>
      </c>
      <c r="BN199">
        <v>-1</v>
      </c>
      <c r="BO199">
        <v>3</v>
      </c>
      <c r="BP199">
        <v>1</v>
      </c>
      <c r="BQ199">
        <v>2.1499980000000001</v>
      </c>
      <c r="BR199">
        <v>53.911568000000003</v>
      </c>
      <c r="BS199">
        <v>34.417617999999997</v>
      </c>
      <c r="BT199">
        <v>8.7600000000000004E-3</v>
      </c>
      <c r="BU199">
        <v>69.000457999999995</v>
      </c>
      <c r="BV199">
        <v>2.3473600000000001</v>
      </c>
      <c r="BW199">
        <v>2.8265600000000002</v>
      </c>
      <c r="BX199">
        <v>0.65205299999999999</v>
      </c>
      <c r="BY199">
        <v>1.1948859999999999</v>
      </c>
      <c r="BZ199">
        <v>0.92355900000000002</v>
      </c>
      <c r="CA199">
        <v>2020</v>
      </c>
      <c r="CB199">
        <v>3</v>
      </c>
      <c r="CC199">
        <v>25</v>
      </c>
      <c r="CD199">
        <v>23</v>
      </c>
      <c r="CE199">
        <v>4</v>
      </c>
      <c r="CF199">
        <v>41.619999</v>
      </c>
      <c r="CG199">
        <v>2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0.44355800000000001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</row>
    <row r="200" spans="1:105" x14ac:dyDescent="0.25">
      <c r="A200">
        <v>199</v>
      </c>
      <c r="B200" t="s">
        <v>339</v>
      </c>
      <c r="C200">
        <v>58934.048439999999</v>
      </c>
      <c r="D200">
        <v>5.5714980000000001</v>
      </c>
      <c r="E200" s="3" t="s">
        <v>106</v>
      </c>
      <c r="F200" s="3" t="s">
        <v>191</v>
      </c>
      <c r="G200">
        <v>1.3497870000000001</v>
      </c>
      <c r="H200">
        <v>271.546021</v>
      </c>
      <c r="I200">
        <v>61.263987999999998</v>
      </c>
      <c r="J200">
        <v>275.766052</v>
      </c>
      <c r="K200">
        <v>61.032302999999999</v>
      </c>
      <c r="L200">
        <v>297.333618</v>
      </c>
      <c r="M200">
        <v>83.917038000000005</v>
      </c>
      <c r="N200">
        <v>24.414469</v>
      </c>
      <c r="O200">
        <v>24.414469</v>
      </c>
      <c r="P200">
        <v>21.556000000000001</v>
      </c>
      <c r="Q200">
        <v>35.084564</v>
      </c>
      <c r="R200">
        <v>1.6200129999999999</v>
      </c>
      <c r="S200">
        <v>0.99498600000000004</v>
      </c>
      <c r="T200">
        <v>0.38581700000000002</v>
      </c>
      <c r="U200">
        <v>2.0627789999999999</v>
      </c>
      <c r="V200">
        <v>172.138733</v>
      </c>
      <c r="W200">
        <v>5.5719580000000004</v>
      </c>
      <c r="X200">
        <v>37.690685000000002</v>
      </c>
      <c r="Y200" t="s">
        <v>114</v>
      </c>
      <c r="Z200">
        <v>-1</v>
      </c>
      <c r="AA200">
        <v>-1</v>
      </c>
      <c r="AB200">
        <v>1.2</v>
      </c>
      <c r="AC200">
        <v>1.6215079999999999</v>
      </c>
      <c r="AD200">
        <v>0.14000000000000001</v>
      </c>
      <c r="AE200">
        <v>10.898</v>
      </c>
      <c r="AF200">
        <v>0</v>
      </c>
      <c r="AG200">
        <v>36.592083000000002</v>
      </c>
      <c r="AH200">
        <v>17.476799</v>
      </c>
      <c r="AI200">
        <v>49.161079000000001</v>
      </c>
      <c r="AJ200">
        <v>-27.061057999999999</v>
      </c>
      <c r="AK200">
        <v>157.88357500000001</v>
      </c>
      <c r="AL200">
        <v>58.772446000000002</v>
      </c>
      <c r="AM200">
        <v>304.397064</v>
      </c>
      <c r="AN200">
        <v>64.978790000000004</v>
      </c>
      <c r="AO200">
        <v>-1.485838</v>
      </c>
      <c r="AP200">
        <v>51.142913999999998</v>
      </c>
      <c r="AQ200">
        <v>85.717597999999995</v>
      </c>
      <c r="AR200">
        <v>94.419372999999993</v>
      </c>
      <c r="AS200">
        <v>49.476044000000002</v>
      </c>
      <c r="AT200">
        <v>10.106412000000001</v>
      </c>
      <c r="AU200">
        <v>156.142471</v>
      </c>
      <c r="AV200">
        <v>57.437016</v>
      </c>
      <c r="AW200">
        <v>-1.5080389999999999</v>
      </c>
      <c r="AX200">
        <v>51.129680999999998</v>
      </c>
      <c r="AY200">
        <v>83.071021999999999</v>
      </c>
      <c r="AZ200">
        <v>92.249779000000004</v>
      </c>
      <c r="BA200">
        <v>51.097549000000001</v>
      </c>
      <c r="BB200">
        <v>10.346688</v>
      </c>
      <c r="BC200">
        <v>3.4180250000000001</v>
      </c>
      <c r="BD200">
        <v>46.535778000000001</v>
      </c>
      <c r="BE200">
        <v>51.035957000000003</v>
      </c>
      <c r="BF200">
        <v>51.108066999999998</v>
      </c>
      <c r="BG200">
        <v>49.115107999999999</v>
      </c>
      <c r="BH200">
        <v>8</v>
      </c>
      <c r="BI200">
        <v>4</v>
      </c>
      <c r="BJ200">
        <v>50</v>
      </c>
      <c r="BK200">
        <v>80</v>
      </c>
      <c r="BL200">
        <v>2.895E-2</v>
      </c>
      <c r="BM200">
        <v>4.15E-3</v>
      </c>
      <c r="BN200">
        <v>-1</v>
      </c>
      <c r="BO200">
        <v>3</v>
      </c>
      <c r="BP200">
        <v>1</v>
      </c>
      <c r="BQ200">
        <v>1.84999</v>
      </c>
      <c r="BR200">
        <v>53.911568000000003</v>
      </c>
      <c r="BS200">
        <v>13.349750999999999</v>
      </c>
      <c r="BT200">
        <v>0.165517</v>
      </c>
      <c r="BU200">
        <v>25.471046000000001</v>
      </c>
      <c r="BV200">
        <v>13.783336</v>
      </c>
      <c r="BW200">
        <v>2.049134</v>
      </c>
      <c r="BX200">
        <v>4.1513260000000001</v>
      </c>
      <c r="BY200">
        <v>23.113789000000001</v>
      </c>
      <c r="BZ200">
        <v>0.54901999999999995</v>
      </c>
      <c r="CA200">
        <v>2020</v>
      </c>
      <c r="CB200">
        <v>3</v>
      </c>
      <c r="CC200">
        <v>26</v>
      </c>
      <c r="CD200">
        <v>1</v>
      </c>
      <c r="CE200">
        <v>9</v>
      </c>
      <c r="CF200">
        <v>45.180003999999997</v>
      </c>
      <c r="CG200">
        <v>2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0.61727900000000002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</row>
    <row r="201" spans="1:105" x14ac:dyDescent="0.25">
      <c r="A201">
        <v>200</v>
      </c>
      <c r="B201" t="s">
        <v>340</v>
      </c>
      <c r="C201">
        <v>58934.049693000001</v>
      </c>
      <c r="D201">
        <v>5.5727399999999996</v>
      </c>
      <c r="E201" s="3" t="s">
        <v>111</v>
      </c>
      <c r="F201" s="3" t="s">
        <v>191</v>
      </c>
      <c r="G201">
        <v>-0.50592400000000004</v>
      </c>
      <c r="H201">
        <v>284.85650600000002</v>
      </c>
      <c r="I201">
        <v>11.611438</v>
      </c>
      <c r="J201">
        <v>285.21816999999999</v>
      </c>
      <c r="K201">
        <v>11.199567</v>
      </c>
      <c r="L201">
        <v>288.02713</v>
      </c>
      <c r="M201">
        <v>33.688834999999997</v>
      </c>
      <c r="N201">
        <v>69.589545999999999</v>
      </c>
      <c r="O201">
        <v>69.589545999999999</v>
      </c>
      <c r="P201">
        <v>68.396484000000001</v>
      </c>
      <c r="Q201">
        <v>47.572226999999998</v>
      </c>
      <c r="R201">
        <v>-1.830694</v>
      </c>
      <c r="S201">
        <v>0.937805</v>
      </c>
      <c r="T201">
        <v>1.5122679999999999</v>
      </c>
      <c r="U201">
        <v>0</v>
      </c>
      <c r="V201">
        <v>154.21499600000001</v>
      </c>
      <c r="W201">
        <v>5.5724999999999998</v>
      </c>
      <c r="X201">
        <v>124.12067399999999</v>
      </c>
      <c r="Y201" t="s">
        <v>114</v>
      </c>
      <c r="Z201">
        <v>-1</v>
      </c>
      <c r="AA201">
        <v>-1</v>
      </c>
      <c r="AB201">
        <v>0</v>
      </c>
      <c r="AC201">
        <v>6.4096609999999998</v>
      </c>
      <c r="AD201">
        <v>0.26</v>
      </c>
      <c r="AE201">
        <v>24.386998999999999</v>
      </c>
      <c r="AF201">
        <v>0</v>
      </c>
      <c r="AG201">
        <v>17.045721</v>
      </c>
      <c r="AH201">
        <v>10.531355</v>
      </c>
      <c r="AI201">
        <v>2.514637</v>
      </c>
      <c r="AJ201">
        <v>-38.580264999999997</v>
      </c>
      <c r="AK201">
        <v>269.559662</v>
      </c>
      <c r="AL201">
        <v>58.254646000000001</v>
      </c>
      <c r="AM201">
        <v>51.643608</v>
      </c>
      <c r="AN201">
        <v>51.271160000000002</v>
      </c>
      <c r="AO201">
        <v>-0.10535</v>
      </c>
      <c r="AP201">
        <v>51.390518</v>
      </c>
      <c r="AQ201">
        <v>103.63365899999999</v>
      </c>
      <c r="AR201">
        <v>131.90531899999999</v>
      </c>
      <c r="AS201">
        <v>48.065502000000002</v>
      </c>
      <c r="AT201">
        <v>5.081569</v>
      </c>
      <c r="AU201">
        <v>264.45153800000003</v>
      </c>
      <c r="AV201">
        <v>64.178871000000001</v>
      </c>
      <c r="AW201">
        <v>-0.354213</v>
      </c>
      <c r="AX201">
        <v>51.384701</v>
      </c>
      <c r="AY201">
        <v>99.487328000000005</v>
      </c>
      <c r="AZ201">
        <v>120.56757399999999</v>
      </c>
      <c r="BA201">
        <v>54.475166000000002</v>
      </c>
      <c r="BB201">
        <v>5.5608620000000002</v>
      </c>
      <c r="BC201">
        <v>18.093281000000001</v>
      </c>
      <c r="BD201">
        <v>87.799232000000003</v>
      </c>
      <c r="BE201">
        <v>13.200305</v>
      </c>
      <c r="BF201">
        <v>12.606987999999999</v>
      </c>
      <c r="BG201">
        <v>12.06363</v>
      </c>
      <c r="BH201">
        <v>14</v>
      </c>
      <c r="BI201">
        <v>14</v>
      </c>
      <c r="BJ201">
        <v>0</v>
      </c>
      <c r="BK201">
        <v>59</v>
      </c>
      <c r="BL201">
        <v>2.009E-2</v>
      </c>
      <c r="BM201">
        <v>6.7200000000000003E-3</v>
      </c>
      <c r="BN201">
        <v>-1</v>
      </c>
      <c r="BO201">
        <v>3</v>
      </c>
      <c r="BP201">
        <v>1</v>
      </c>
      <c r="BQ201">
        <v>2.3099949999999998</v>
      </c>
      <c r="BR201">
        <v>53.911568000000003</v>
      </c>
      <c r="BS201">
        <v>6.838171</v>
      </c>
      <c r="BT201">
        <v>7.62E-3</v>
      </c>
      <c r="BU201">
        <v>-38.826282999999997</v>
      </c>
      <c r="BV201">
        <v>5.8588760000000004</v>
      </c>
      <c r="BW201">
        <v>0.54343600000000003</v>
      </c>
      <c r="BX201">
        <v>1.5622259999999999</v>
      </c>
      <c r="BY201">
        <v>16.12154</v>
      </c>
      <c r="BZ201">
        <v>4.2583000000000003E-2</v>
      </c>
      <c r="CA201">
        <v>2020</v>
      </c>
      <c r="CB201">
        <v>3</v>
      </c>
      <c r="CC201">
        <v>26</v>
      </c>
      <c r="CD201">
        <v>1</v>
      </c>
      <c r="CE201">
        <v>11</v>
      </c>
      <c r="CF201">
        <v>33.489998</v>
      </c>
      <c r="CG201">
        <v>2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-0.54624099999999998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</row>
    <row r="202" spans="1:105" x14ac:dyDescent="0.25">
      <c r="A202">
        <v>201</v>
      </c>
      <c r="B202" t="s">
        <v>341</v>
      </c>
      <c r="C202">
        <v>58934.067184</v>
      </c>
      <c r="D202">
        <v>5.5900670000000003</v>
      </c>
      <c r="E202" s="3" t="s">
        <v>106</v>
      </c>
      <c r="F202" s="3" t="s">
        <v>191</v>
      </c>
      <c r="G202">
        <v>0.16664699999999999</v>
      </c>
      <c r="H202">
        <v>261.78381300000001</v>
      </c>
      <c r="I202">
        <v>41.588245000000001</v>
      </c>
      <c r="J202">
        <v>262.04855300000003</v>
      </c>
      <c r="K202">
        <v>41.508769999999998</v>
      </c>
      <c r="L202">
        <v>256.04489100000001</v>
      </c>
      <c r="M202">
        <v>64.560744999999997</v>
      </c>
      <c r="N202">
        <v>52.770949999999999</v>
      </c>
      <c r="O202">
        <v>52.770949999999999</v>
      </c>
      <c r="P202">
        <v>51.390788999999998</v>
      </c>
      <c r="Q202">
        <v>47.784573000000002</v>
      </c>
      <c r="R202">
        <v>-1.757236</v>
      </c>
      <c r="S202">
        <v>0.98054399999999997</v>
      </c>
      <c r="T202">
        <v>1.5580039999999999</v>
      </c>
      <c r="U202">
        <v>0</v>
      </c>
      <c r="V202">
        <v>193.608002</v>
      </c>
      <c r="W202">
        <v>5.5901360000000002</v>
      </c>
      <c r="X202">
        <v>78.952042000000006</v>
      </c>
      <c r="Y202" t="s">
        <v>114</v>
      </c>
      <c r="Z202">
        <v>-1</v>
      </c>
      <c r="AA202">
        <v>-1</v>
      </c>
      <c r="AB202">
        <v>0.6</v>
      </c>
      <c r="AC202">
        <v>2.6507290000000001</v>
      </c>
      <c r="AD202">
        <v>0.12</v>
      </c>
      <c r="AE202">
        <v>22.219000000000001</v>
      </c>
      <c r="AF202">
        <v>0</v>
      </c>
      <c r="AG202">
        <v>36.666854999999998</v>
      </c>
      <c r="AH202">
        <v>38.489426000000002</v>
      </c>
      <c r="AI202">
        <v>9.1460659999999994</v>
      </c>
      <c r="AJ202">
        <v>-38.608443999999999</v>
      </c>
      <c r="AK202">
        <v>174.069107</v>
      </c>
      <c r="AL202">
        <v>42.793053</v>
      </c>
      <c r="AM202">
        <v>262.46875</v>
      </c>
      <c r="AN202">
        <v>66.318657000000002</v>
      </c>
      <c r="AO202">
        <v>-1.7101710000000001</v>
      </c>
      <c r="AP202">
        <v>50.886035999999997</v>
      </c>
      <c r="AQ202">
        <v>113.367439</v>
      </c>
      <c r="AR202">
        <v>123.519806</v>
      </c>
      <c r="AS202">
        <v>61.782435999999997</v>
      </c>
      <c r="AT202">
        <v>1.404623</v>
      </c>
      <c r="AU202">
        <v>171.07403600000001</v>
      </c>
      <c r="AV202">
        <v>41.349173999999998</v>
      </c>
      <c r="AW202">
        <v>-1.7645999999999999</v>
      </c>
      <c r="AX202">
        <v>50.880913</v>
      </c>
      <c r="AY202">
        <v>108.40804300000001</v>
      </c>
      <c r="AZ202">
        <v>120.654808</v>
      </c>
      <c r="BA202">
        <v>64.433166999999997</v>
      </c>
      <c r="BB202">
        <v>1.437983</v>
      </c>
      <c r="BC202">
        <v>6.3325139999999998</v>
      </c>
      <c r="BD202">
        <v>81.709114</v>
      </c>
      <c r="BE202">
        <v>51.460315999999999</v>
      </c>
      <c r="BF202">
        <v>51.898772999999998</v>
      </c>
      <c r="BG202">
        <v>51.689796000000001</v>
      </c>
      <c r="BH202">
        <v>7</v>
      </c>
      <c r="BI202">
        <v>7</v>
      </c>
      <c r="BJ202">
        <v>0</v>
      </c>
      <c r="BK202">
        <v>75</v>
      </c>
      <c r="BL202">
        <v>3.3520000000000001E-2</v>
      </c>
      <c r="BM202">
        <v>7.5399999999999998E-3</v>
      </c>
      <c r="BN202">
        <v>-1</v>
      </c>
      <c r="BO202">
        <v>3</v>
      </c>
      <c r="BP202">
        <v>1</v>
      </c>
      <c r="BQ202">
        <v>2.1300020000000002</v>
      </c>
      <c r="BR202">
        <v>53.911568000000003</v>
      </c>
      <c r="BS202">
        <v>1.594109</v>
      </c>
      <c r="BT202">
        <v>6.9220000000000002E-3</v>
      </c>
      <c r="BU202">
        <v>15.873386999999999</v>
      </c>
      <c r="BV202">
        <v>13.781530999999999</v>
      </c>
      <c r="BW202">
        <v>0.213475</v>
      </c>
      <c r="BX202">
        <v>31.779449</v>
      </c>
      <c r="BY202">
        <v>1266.3707280000001</v>
      </c>
      <c r="BZ202">
        <v>5.9500000000000004E-4</v>
      </c>
      <c r="CA202">
        <v>2020</v>
      </c>
      <c r="CB202">
        <v>3</v>
      </c>
      <c r="CC202">
        <v>26</v>
      </c>
      <c r="CD202">
        <v>1</v>
      </c>
      <c r="CE202">
        <v>36</v>
      </c>
      <c r="CF202">
        <v>44.669994000000003</v>
      </c>
      <c r="CG202">
        <v>2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-0.569075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</row>
    <row r="203" spans="1:105" x14ac:dyDescent="0.25">
      <c r="A203">
        <v>202</v>
      </c>
      <c r="B203" t="s">
        <v>342</v>
      </c>
      <c r="C203">
        <v>58934.072209999998</v>
      </c>
      <c r="D203">
        <v>5.595046</v>
      </c>
      <c r="E203" s="3" t="s">
        <v>110</v>
      </c>
      <c r="F203" s="3" t="s">
        <v>191</v>
      </c>
      <c r="G203">
        <v>1.3476699999999999</v>
      </c>
      <c r="H203">
        <v>256.02700800000002</v>
      </c>
      <c r="I203">
        <v>0.144485</v>
      </c>
      <c r="J203">
        <v>256.15408300000001</v>
      </c>
      <c r="K203">
        <v>-0.40232800000000002</v>
      </c>
      <c r="L203">
        <v>255.008163</v>
      </c>
      <c r="M203">
        <v>22.316692</v>
      </c>
      <c r="N203">
        <v>60.699047</v>
      </c>
      <c r="O203">
        <v>60.699047</v>
      </c>
      <c r="P203">
        <v>59.446013999999998</v>
      </c>
      <c r="Q203">
        <v>36.496952</v>
      </c>
      <c r="R203">
        <v>1.986882</v>
      </c>
      <c r="S203">
        <v>0.65635500000000002</v>
      </c>
      <c r="T203">
        <v>0.66965600000000003</v>
      </c>
      <c r="U203">
        <v>2.8017729999999998</v>
      </c>
      <c r="V203">
        <v>261.53988600000002</v>
      </c>
      <c r="W203">
        <v>5.5947060000000004</v>
      </c>
      <c r="X203">
        <v>133.760513</v>
      </c>
      <c r="Y203" t="s">
        <v>114</v>
      </c>
      <c r="Z203">
        <v>-1</v>
      </c>
      <c r="AA203">
        <v>-1</v>
      </c>
      <c r="AB203">
        <v>1.7</v>
      </c>
      <c r="AC203">
        <v>1.989655</v>
      </c>
      <c r="AD203">
        <v>0.1</v>
      </c>
      <c r="AE203">
        <v>23.058001000000001</v>
      </c>
      <c r="AF203">
        <v>0</v>
      </c>
      <c r="AG203">
        <v>346.03744499999999</v>
      </c>
      <c r="AH203">
        <v>4.13558</v>
      </c>
      <c r="AI203">
        <v>316.73519900000002</v>
      </c>
      <c r="AJ203">
        <v>-29.942212999999999</v>
      </c>
      <c r="AK203">
        <v>252.35217299999999</v>
      </c>
      <c r="AL203">
        <v>41.813113999999999</v>
      </c>
      <c r="AM203">
        <v>91.274529000000001</v>
      </c>
      <c r="AN203">
        <v>58.877541000000001</v>
      </c>
      <c r="AO203">
        <v>-0.43516100000000002</v>
      </c>
      <c r="AP203">
        <v>51.853374000000002</v>
      </c>
      <c r="AQ203">
        <v>103.10580400000001</v>
      </c>
      <c r="AR203">
        <v>119.86140399999999</v>
      </c>
      <c r="AS203">
        <v>41.800528999999997</v>
      </c>
      <c r="AT203">
        <v>20.888290000000001</v>
      </c>
      <c r="AU203">
        <v>252.06381200000001</v>
      </c>
      <c r="AV203">
        <v>43.791491999999998</v>
      </c>
      <c r="AW203">
        <v>-0.49839499999999998</v>
      </c>
      <c r="AX203">
        <v>51.881813000000001</v>
      </c>
      <c r="AY203">
        <v>100.484306</v>
      </c>
      <c r="AZ203">
        <v>115.37033099999999</v>
      </c>
      <c r="BA203">
        <v>43.790115</v>
      </c>
      <c r="BB203">
        <v>21.741924000000001</v>
      </c>
      <c r="BC203">
        <v>6.0699050000000003</v>
      </c>
      <c r="BD203">
        <v>126.427132</v>
      </c>
      <c r="BE203">
        <v>25.138833999999999</v>
      </c>
      <c r="BF203">
        <v>24.690615000000001</v>
      </c>
      <c r="BG203">
        <v>24.153509</v>
      </c>
      <c r="BH203">
        <v>6</v>
      </c>
      <c r="BI203">
        <v>4</v>
      </c>
      <c r="BJ203">
        <v>33.333331999999999</v>
      </c>
      <c r="BK203">
        <v>43</v>
      </c>
      <c r="BL203">
        <v>2.785E-2</v>
      </c>
      <c r="BM203">
        <v>1.652E-2</v>
      </c>
      <c r="BN203">
        <v>-1</v>
      </c>
      <c r="BO203">
        <v>3</v>
      </c>
      <c r="BP203">
        <v>1</v>
      </c>
      <c r="BQ203">
        <v>1.029998</v>
      </c>
      <c r="BR203">
        <v>116.594238</v>
      </c>
      <c r="BS203">
        <v>32.364372000000003</v>
      </c>
      <c r="BT203">
        <v>0.571357</v>
      </c>
      <c r="BU203">
        <v>41.494914999999999</v>
      </c>
      <c r="BV203">
        <v>1.808999</v>
      </c>
      <c r="BW203">
        <v>0.56138399999999999</v>
      </c>
      <c r="BX203">
        <v>1.4223410000000001</v>
      </c>
      <c r="BY203">
        <v>3.8397389999999998</v>
      </c>
      <c r="BZ203">
        <v>0.82238</v>
      </c>
      <c r="CA203">
        <v>2020</v>
      </c>
      <c r="CB203">
        <v>3</v>
      </c>
      <c r="CC203">
        <v>26</v>
      </c>
      <c r="CD203">
        <v>1</v>
      </c>
      <c r="CE203">
        <v>43</v>
      </c>
      <c r="CF203">
        <v>58.910004000000001</v>
      </c>
      <c r="CG203">
        <v>2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0.503301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</row>
    <row r="204" spans="1:105" x14ac:dyDescent="0.25">
      <c r="A204">
        <v>203</v>
      </c>
      <c r="B204" t="s">
        <v>343</v>
      </c>
      <c r="C204">
        <v>58934.179025999998</v>
      </c>
      <c r="D204">
        <v>5.7008559999999999</v>
      </c>
      <c r="E204" s="3" t="s">
        <v>106</v>
      </c>
      <c r="F204" s="3" t="s">
        <v>191</v>
      </c>
      <c r="G204">
        <v>1.479141</v>
      </c>
      <c r="H204">
        <v>191.03259299999999</v>
      </c>
      <c r="I204">
        <v>17.691692</v>
      </c>
      <c r="J204">
        <v>188.19223</v>
      </c>
      <c r="K204">
        <v>14.631633000000001</v>
      </c>
      <c r="L204">
        <v>181.55688499999999</v>
      </c>
      <c r="M204">
        <v>16.654572000000002</v>
      </c>
      <c r="N204">
        <v>23.701632</v>
      </c>
      <c r="O204">
        <v>23.701632</v>
      </c>
      <c r="P204">
        <v>21.163767</v>
      </c>
      <c r="Q204">
        <v>37.517901999999999</v>
      </c>
      <c r="R204">
        <v>2.3919999999999999</v>
      </c>
      <c r="S204">
        <v>0.66311200000000003</v>
      </c>
      <c r="T204">
        <v>0.72277899999999995</v>
      </c>
      <c r="U204">
        <v>3.7009780000000001</v>
      </c>
      <c r="V204">
        <v>258.41848800000002</v>
      </c>
      <c r="W204">
        <v>5.7026779999999997</v>
      </c>
      <c r="X204">
        <v>10.958092000000001</v>
      </c>
      <c r="Y204" t="s">
        <v>114</v>
      </c>
      <c r="Z204">
        <v>-1</v>
      </c>
      <c r="AA204">
        <v>-1</v>
      </c>
      <c r="AB204">
        <v>1.3</v>
      </c>
      <c r="AC204">
        <v>1.830198</v>
      </c>
      <c r="AD204">
        <v>0.18</v>
      </c>
      <c r="AE204">
        <v>9.968</v>
      </c>
      <c r="AF204">
        <v>0</v>
      </c>
      <c r="AG204">
        <v>95.041861999999995</v>
      </c>
      <c r="AH204">
        <v>18.117605000000001</v>
      </c>
      <c r="AI204">
        <v>198.38232400000001</v>
      </c>
      <c r="AJ204">
        <v>37.228034999999998</v>
      </c>
      <c r="AK204">
        <v>214.65463299999999</v>
      </c>
      <c r="AL204">
        <v>56.489578000000002</v>
      </c>
      <c r="AM204">
        <v>298.63211100000001</v>
      </c>
      <c r="AN204">
        <v>70.089118999999997</v>
      </c>
      <c r="AO204">
        <v>-1.4143559999999999</v>
      </c>
      <c r="AP204">
        <v>51.077804999999998</v>
      </c>
      <c r="AQ204">
        <v>88.210357999999999</v>
      </c>
      <c r="AR204">
        <v>93.626755000000003</v>
      </c>
      <c r="AS204">
        <v>42.668385000000001</v>
      </c>
      <c r="AT204">
        <v>6.6775320000000002</v>
      </c>
      <c r="AU204">
        <v>216.59931900000001</v>
      </c>
      <c r="AV204">
        <v>57.987164</v>
      </c>
      <c r="AW204">
        <v>-1.36686</v>
      </c>
      <c r="AX204">
        <v>51.086151000000001</v>
      </c>
      <c r="AY204">
        <v>85.777596000000003</v>
      </c>
      <c r="AZ204">
        <v>90.535988000000003</v>
      </c>
      <c r="BA204">
        <v>44.498581000000001</v>
      </c>
      <c r="BB204">
        <v>6.9065859999999999</v>
      </c>
      <c r="BC204">
        <v>4.2662940000000003</v>
      </c>
      <c r="BD204">
        <v>253.95710800000001</v>
      </c>
      <c r="BE204">
        <v>34.847712999999999</v>
      </c>
      <c r="BF204">
        <v>34.646687</v>
      </c>
      <c r="BG204">
        <v>30.551272999999998</v>
      </c>
      <c r="BH204">
        <v>10</v>
      </c>
      <c r="BI204">
        <v>9</v>
      </c>
      <c r="BJ204">
        <v>10</v>
      </c>
      <c r="BK204">
        <v>64</v>
      </c>
      <c r="BL204">
        <v>2.9139999999999999E-2</v>
      </c>
      <c r="BM204">
        <v>1.554E-2</v>
      </c>
      <c r="BN204">
        <v>-1</v>
      </c>
      <c r="BO204">
        <v>3</v>
      </c>
      <c r="BP204">
        <v>1</v>
      </c>
      <c r="BQ204">
        <v>3.3799959999999998</v>
      </c>
      <c r="BR204">
        <v>53.911568000000003</v>
      </c>
      <c r="BS204">
        <v>9.8790300000000002</v>
      </c>
      <c r="BT204">
        <v>1.1238E-2</v>
      </c>
      <c r="BU204">
        <v>26.354696000000001</v>
      </c>
      <c r="BV204">
        <v>7.1791830000000001</v>
      </c>
      <c r="BW204">
        <v>4.0992959999999998</v>
      </c>
      <c r="BX204">
        <v>4.8259290000000004</v>
      </c>
      <c r="BY204">
        <v>40.132145000000001</v>
      </c>
      <c r="BZ204">
        <v>0.487099</v>
      </c>
      <c r="CA204">
        <v>2020</v>
      </c>
      <c r="CB204">
        <v>3</v>
      </c>
      <c r="CC204">
        <v>26</v>
      </c>
      <c r="CD204">
        <v>4</v>
      </c>
      <c r="CE204">
        <v>17</v>
      </c>
      <c r="CF204">
        <v>47.820003999999997</v>
      </c>
      <c r="CG204">
        <v>2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0.41805999999999999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</row>
    <row r="205" spans="1:105" x14ac:dyDescent="0.25">
      <c r="A205">
        <v>204</v>
      </c>
      <c r="B205" t="s">
        <v>344</v>
      </c>
      <c r="C205">
        <v>58934.184509999999</v>
      </c>
      <c r="D205">
        <v>5.7062879999999998</v>
      </c>
      <c r="E205" s="3" t="s">
        <v>110</v>
      </c>
      <c r="F205" s="3" t="s">
        <v>111</v>
      </c>
      <c r="G205">
        <v>-0.59000600000000003</v>
      </c>
      <c r="H205">
        <v>279.02145400000001</v>
      </c>
      <c r="I205">
        <v>37.386485999999998</v>
      </c>
      <c r="J205">
        <v>278.97848499999998</v>
      </c>
      <c r="K205">
        <v>37.194724999999998</v>
      </c>
      <c r="L205">
        <v>284.47781400000002</v>
      </c>
      <c r="M205">
        <v>60.180976999999999</v>
      </c>
      <c r="N205">
        <v>43.5242</v>
      </c>
      <c r="O205">
        <v>43.5242</v>
      </c>
      <c r="P205">
        <v>41.947341999999999</v>
      </c>
      <c r="Q205">
        <v>37.729813</v>
      </c>
      <c r="R205">
        <v>2.4994839999999998</v>
      </c>
      <c r="S205">
        <v>0.985097</v>
      </c>
      <c r="T205">
        <v>0.60587999999999997</v>
      </c>
      <c r="U205">
        <v>3.9532129999999999</v>
      </c>
      <c r="V205">
        <v>165.17034899999999</v>
      </c>
      <c r="W205">
        <v>5.706378</v>
      </c>
      <c r="X205">
        <v>75.741943000000006</v>
      </c>
      <c r="Y205" t="s">
        <v>114</v>
      </c>
      <c r="Z205">
        <v>-1</v>
      </c>
      <c r="AA205">
        <v>-1</v>
      </c>
      <c r="AB205">
        <v>0.1</v>
      </c>
      <c r="AC205">
        <v>1.4350320000000001</v>
      </c>
      <c r="AD205">
        <v>0.14000000000000001</v>
      </c>
      <c r="AE205">
        <v>10.250999999999999</v>
      </c>
      <c r="AF205">
        <v>0</v>
      </c>
      <c r="AG205">
        <v>128.79870600000001</v>
      </c>
      <c r="AH205">
        <v>48.638205999999997</v>
      </c>
      <c r="AI205">
        <v>329.45452899999998</v>
      </c>
      <c r="AJ205">
        <v>-33.754795000000001</v>
      </c>
      <c r="AK205">
        <v>322.57549999999998</v>
      </c>
      <c r="AL205">
        <v>40.533909000000001</v>
      </c>
      <c r="AM205">
        <v>72.230141000000003</v>
      </c>
      <c r="AN205">
        <v>40.133311999999997</v>
      </c>
      <c r="AO205">
        <v>0.15102399999999999</v>
      </c>
      <c r="AP205">
        <v>52.145721000000002</v>
      </c>
      <c r="AQ205">
        <v>91.257194999999996</v>
      </c>
      <c r="AR205">
        <v>139.919083</v>
      </c>
      <c r="AS205">
        <v>33.668602</v>
      </c>
      <c r="AT205">
        <v>17.871238999999999</v>
      </c>
      <c r="AU205">
        <v>324.43359400000003</v>
      </c>
      <c r="AV205">
        <v>40.293174999999998</v>
      </c>
      <c r="AW205">
        <v>0.117864</v>
      </c>
      <c r="AX205">
        <v>52.155253999999999</v>
      </c>
      <c r="AY205">
        <v>85.721947</v>
      </c>
      <c r="AZ205">
        <v>134.89012099999999</v>
      </c>
      <c r="BA205">
        <v>35.103634</v>
      </c>
      <c r="BB205">
        <v>18.561351999999999</v>
      </c>
      <c r="BC205">
        <v>6.093388</v>
      </c>
      <c r="BD205">
        <v>115.160049</v>
      </c>
      <c r="BE205">
        <v>65.211181999999994</v>
      </c>
      <c r="BF205">
        <v>64.498367000000002</v>
      </c>
      <c r="BG205">
        <v>64.388435000000001</v>
      </c>
      <c r="BH205">
        <v>8</v>
      </c>
      <c r="BI205">
        <v>8</v>
      </c>
      <c r="BJ205">
        <v>0</v>
      </c>
      <c r="BK205">
        <v>41</v>
      </c>
      <c r="BL205">
        <v>2.7279999999999999E-2</v>
      </c>
      <c r="BM205">
        <v>2.878E-2</v>
      </c>
      <c r="BN205">
        <v>-1</v>
      </c>
      <c r="BO205">
        <v>3</v>
      </c>
      <c r="BP205">
        <v>1</v>
      </c>
      <c r="BQ205">
        <v>6.0007999999999999E-2</v>
      </c>
      <c r="BR205">
        <v>105.113434</v>
      </c>
      <c r="BS205">
        <v>33.610554</v>
      </c>
      <c r="BT205">
        <v>1.07E-4</v>
      </c>
      <c r="BU205">
        <v>45.647499000000003</v>
      </c>
      <c r="BV205">
        <v>3.1254819999999999</v>
      </c>
      <c r="BW205">
        <v>0.19478400000000001</v>
      </c>
      <c r="BX205">
        <v>1.6552</v>
      </c>
      <c r="BY205">
        <v>5.199802</v>
      </c>
      <c r="BZ205">
        <v>0.84048900000000004</v>
      </c>
      <c r="CA205">
        <v>2020</v>
      </c>
      <c r="CB205">
        <v>3</v>
      </c>
      <c r="CC205">
        <v>26</v>
      </c>
      <c r="CD205">
        <v>4</v>
      </c>
      <c r="CE205">
        <v>25</v>
      </c>
      <c r="CF205">
        <v>41.639995999999996</v>
      </c>
      <c r="CG205">
        <v>2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0.40008300000000002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</row>
    <row r="206" spans="1:105" x14ac:dyDescent="0.25">
      <c r="A206">
        <v>205</v>
      </c>
      <c r="B206" t="s">
        <v>345</v>
      </c>
      <c r="C206">
        <v>58934.189951</v>
      </c>
      <c r="D206">
        <v>5.711678</v>
      </c>
      <c r="E206" s="3" t="s">
        <v>106</v>
      </c>
      <c r="F206" s="3" t="s">
        <v>191</v>
      </c>
      <c r="G206">
        <v>-0.95475500000000002</v>
      </c>
      <c r="H206">
        <v>199.08067299999999</v>
      </c>
      <c r="I206">
        <v>-7.6782490000000001</v>
      </c>
      <c r="J206">
        <v>197.40867600000001</v>
      </c>
      <c r="K206">
        <v>-9.8314430000000002</v>
      </c>
      <c r="L206">
        <v>199.79451</v>
      </c>
      <c r="M206">
        <v>-2.258874</v>
      </c>
      <c r="N206">
        <v>32.893436000000001</v>
      </c>
      <c r="O206">
        <v>32.893436000000001</v>
      </c>
      <c r="P206">
        <v>31.180347000000001</v>
      </c>
      <c r="Q206">
        <v>37.172066000000001</v>
      </c>
      <c r="R206">
        <v>2.2362799999999998</v>
      </c>
      <c r="S206">
        <v>0.29939900000000003</v>
      </c>
      <c r="T206">
        <v>0.86611800000000005</v>
      </c>
      <c r="U206">
        <v>3.3455240000000002</v>
      </c>
      <c r="V206">
        <v>120.528778</v>
      </c>
      <c r="W206">
        <v>185.705276</v>
      </c>
      <c r="X206">
        <v>3.1563050000000001</v>
      </c>
      <c r="Y206" t="s">
        <v>114</v>
      </c>
      <c r="Z206">
        <v>-1</v>
      </c>
      <c r="AA206">
        <v>-1</v>
      </c>
      <c r="AB206">
        <v>-0.9</v>
      </c>
      <c r="AC206">
        <v>15.760472999999999</v>
      </c>
      <c r="AD206">
        <v>1.1200000000000001</v>
      </c>
      <c r="AE206">
        <v>14.038</v>
      </c>
      <c r="AF206">
        <v>0</v>
      </c>
      <c r="AG206">
        <v>111.31626900000001</v>
      </c>
      <c r="AH206">
        <v>16.137298999999999</v>
      </c>
      <c r="AI206">
        <v>221.248535</v>
      </c>
      <c r="AJ206">
        <v>30.791101000000001</v>
      </c>
      <c r="AK206">
        <v>211.88812300000001</v>
      </c>
      <c r="AL206">
        <v>32.378452000000003</v>
      </c>
      <c r="AM206">
        <v>252.293182</v>
      </c>
      <c r="AN206">
        <v>55.763660000000002</v>
      </c>
      <c r="AO206">
        <v>-1.8804099999999999</v>
      </c>
      <c r="AP206">
        <v>50.767727000000001</v>
      </c>
      <c r="AQ206">
        <v>95.115791000000002</v>
      </c>
      <c r="AR206">
        <v>114.567215</v>
      </c>
      <c r="AS206">
        <v>41.876541000000003</v>
      </c>
      <c r="AT206">
        <v>11.300724000000001</v>
      </c>
      <c r="AU206">
        <v>219.4272</v>
      </c>
      <c r="AV206">
        <v>47.053192000000003</v>
      </c>
      <c r="AW206">
        <v>-1.4790779999999999</v>
      </c>
      <c r="AX206">
        <v>50.950493000000002</v>
      </c>
      <c r="AY206">
        <v>84.652161000000007</v>
      </c>
      <c r="AZ206">
        <v>90.540015999999994</v>
      </c>
      <c r="BA206">
        <v>57.637016000000003</v>
      </c>
      <c r="BB206">
        <v>14.356908000000001</v>
      </c>
      <c r="BC206">
        <v>36.840648999999999</v>
      </c>
      <c r="BD206">
        <v>233.77224699999999</v>
      </c>
      <c r="BE206">
        <v>16.698955999999999</v>
      </c>
      <c r="BF206">
        <v>16.158386</v>
      </c>
      <c r="BG206">
        <v>13.459702</v>
      </c>
      <c r="BH206">
        <v>57</v>
      </c>
      <c r="BI206">
        <v>57</v>
      </c>
      <c r="BJ206">
        <v>0</v>
      </c>
      <c r="BK206">
        <v>61</v>
      </c>
      <c r="BL206">
        <v>2.5989999999999999E-2</v>
      </c>
      <c r="BM206">
        <v>1.306E-2</v>
      </c>
      <c r="BN206">
        <v>-1</v>
      </c>
      <c r="BO206">
        <v>1</v>
      </c>
      <c r="BP206">
        <v>1</v>
      </c>
      <c r="BQ206">
        <v>3.9400010000000001</v>
      </c>
      <c r="BR206">
        <v>53.911568000000003</v>
      </c>
      <c r="BS206">
        <v>17.071127000000001</v>
      </c>
      <c r="BT206">
        <v>1.4142999999999999E-2</v>
      </c>
      <c r="BU206">
        <v>51.976643000000003</v>
      </c>
      <c r="BV206">
        <v>1.7558510000000001</v>
      </c>
      <c r="BW206">
        <v>2.7141670000000002</v>
      </c>
      <c r="BX206">
        <v>0.34532499999999999</v>
      </c>
      <c r="BY206">
        <v>1.392657</v>
      </c>
      <c r="BZ206">
        <v>0.85880500000000004</v>
      </c>
      <c r="CA206">
        <v>2020</v>
      </c>
      <c r="CB206">
        <v>3</v>
      </c>
      <c r="CC206">
        <v>26</v>
      </c>
      <c r="CD206">
        <v>4</v>
      </c>
      <c r="CE206">
        <v>33</v>
      </c>
      <c r="CF206">
        <v>31.749998000000001</v>
      </c>
      <c r="CG206">
        <v>2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0.44717099999999999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</row>
    <row r="207" spans="1:105" x14ac:dyDescent="0.25">
      <c r="A207">
        <v>206</v>
      </c>
      <c r="B207" t="s">
        <v>346</v>
      </c>
      <c r="C207">
        <v>58934.965673999999</v>
      </c>
      <c r="D207">
        <v>6.4798879999999999</v>
      </c>
      <c r="E207" s="3" t="s">
        <v>106</v>
      </c>
      <c r="F207" s="3" t="s">
        <v>191</v>
      </c>
      <c r="G207">
        <v>0.35106399999999999</v>
      </c>
      <c r="H207">
        <v>92.186233999999999</v>
      </c>
      <c r="I207">
        <v>68.681479999999993</v>
      </c>
      <c r="J207">
        <v>71.328666999999996</v>
      </c>
      <c r="K207">
        <v>63.480370000000001</v>
      </c>
      <c r="L207">
        <v>79.124283000000005</v>
      </c>
      <c r="M207">
        <v>40.746876</v>
      </c>
      <c r="N207">
        <v>14.365152</v>
      </c>
      <c r="O207">
        <v>14.365152</v>
      </c>
      <c r="P207">
        <v>9.1907960000000006</v>
      </c>
      <c r="Q207">
        <v>37.080528000000001</v>
      </c>
      <c r="R207">
        <v>2.2007479999999999</v>
      </c>
      <c r="S207">
        <v>0.99110399999999998</v>
      </c>
      <c r="T207">
        <v>0.549651</v>
      </c>
      <c r="U207">
        <v>3.266105</v>
      </c>
      <c r="V207">
        <v>168.79092399999999</v>
      </c>
      <c r="W207">
        <v>6.481954</v>
      </c>
      <c r="X207">
        <v>9.3339549999999996</v>
      </c>
      <c r="Y207" t="s">
        <v>114</v>
      </c>
      <c r="Z207">
        <v>-1</v>
      </c>
      <c r="AA207">
        <v>-1</v>
      </c>
      <c r="AB207">
        <v>0.3</v>
      </c>
      <c r="AC207">
        <v>0.894258</v>
      </c>
      <c r="AD207">
        <v>0.24</v>
      </c>
      <c r="AE207">
        <v>3.6629999999999998</v>
      </c>
      <c r="AF207">
        <v>0</v>
      </c>
      <c r="AG207">
        <v>29.636527999999998</v>
      </c>
      <c r="AH207">
        <v>-10.198416</v>
      </c>
      <c r="AI207">
        <v>115.61075599999999</v>
      </c>
      <c r="AJ207">
        <v>20.44417</v>
      </c>
      <c r="AK207">
        <v>109.46379899999999</v>
      </c>
      <c r="AL207">
        <v>44.472304999999999</v>
      </c>
      <c r="AM207">
        <v>285.80487099999999</v>
      </c>
      <c r="AN207">
        <v>49.224342</v>
      </c>
      <c r="AO207">
        <v>358.09817500000003</v>
      </c>
      <c r="AP207">
        <v>51.097507</v>
      </c>
      <c r="AQ207">
        <v>75.391677999999999</v>
      </c>
      <c r="AR207">
        <v>99.222046000000006</v>
      </c>
      <c r="AS207">
        <v>25.796102999999999</v>
      </c>
      <c r="AT207">
        <v>25.795570000000001</v>
      </c>
      <c r="AU207">
        <v>109.770218</v>
      </c>
      <c r="AV207">
        <v>43.605598000000001</v>
      </c>
      <c r="AW207">
        <v>358.11550899999997</v>
      </c>
      <c r="AX207">
        <v>51.081245000000003</v>
      </c>
      <c r="AY207">
        <v>72.734534999999994</v>
      </c>
      <c r="AZ207">
        <v>96.129677000000001</v>
      </c>
      <c r="BA207">
        <v>26.690360999999999</v>
      </c>
      <c r="BB207">
        <v>26.689807999999999</v>
      </c>
      <c r="BC207">
        <v>3.4476360000000001</v>
      </c>
      <c r="BD207">
        <v>325.92160000000001</v>
      </c>
      <c r="BE207">
        <v>50.620688999999999</v>
      </c>
      <c r="BF207">
        <v>50.179062000000002</v>
      </c>
      <c r="BG207">
        <v>40.373280000000001</v>
      </c>
      <c r="BH207">
        <v>13</v>
      </c>
      <c r="BI207">
        <v>11</v>
      </c>
      <c r="BJ207">
        <v>15.384615</v>
      </c>
      <c r="BK207">
        <v>106</v>
      </c>
      <c r="BL207">
        <v>3.322E-2</v>
      </c>
      <c r="BM207">
        <v>1.6670000000000001E-2</v>
      </c>
      <c r="BN207">
        <v>-1</v>
      </c>
      <c r="BO207">
        <v>3</v>
      </c>
      <c r="BP207">
        <v>1</v>
      </c>
      <c r="BQ207">
        <v>2.4399989999999998</v>
      </c>
      <c r="BR207">
        <v>53.911568000000003</v>
      </c>
      <c r="BS207">
        <v>89.644249000000002</v>
      </c>
      <c r="BT207">
        <v>9.5720000000000006E-3</v>
      </c>
      <c r="BU207">
        <v>41.709910999999998</v>
      </c>
      <c r="BV207">
        <v>12.416681000000001</v>
      </c>
      <c r="BW207">
        <v>9.8546680000000002</v>
      </c>
      <c r="BX207">
        <v>1.12951</v>
      </c>
      <c r="BY207">
        <v>2.5147170000000001</v>
      </c>
      <c r="BZ207">
        <v>0.89237699999999998</v>
      </c>
      <c r="CA207">
        <v>2020</v>
      </c>
      <c r="CB207">
        <v>3</v>
      </c>
      <c r="CC207">
        <v>26</v>
      </c>
      <c r="CD207">
        <v>23</v>
      </c>
      <c r="CE207">
        <v>10</v>
      </c>
      <c r="CF207">
        <v>34.240004999999996</v>
      </c>
      <c r="CG207">
        <v>2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0.45439099999999999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</row>
    <row r="208" spans="1:105" x14ac:dyDescent="0.25">
      <c r="A208">
        <v>207</v>
      </c>
      <c r="B208" t="s">
        <v>347</v>
      </c>
      <c r="C208">
        <v>58934.980057000001</v>
      </c>
      <c r="D208">
        <v>6.4941279999999999</v>
      </c>
      <c r="E208" s="3" t="s">
        <v>106</v>
      </c>
      <c r="F208" s="3" t="s">
        <v>191</v>
      </c>
      <c r="G208">
        <v>1.8930169999999999</v>
      </c>
      <c r="H208">
        <v>166.27044699999999</v>
      </c>
      <c r="I208">
        <v>15.097666</v>
      </c>
      <c r="J208">
        <v>163.88407900000001</v>
      </c>
      <c r="K208">
        <v>8.5829299999999993</v>
      </c>
      <c r="L208">
        <v>161.86196899999999</v>
      </c>
      <c r="M208">
        <v>1.590789</v>
      </c>
      <c r="N208">
        <v>15.752791999999999</v>
      </c>
      <c r="O208">
        <v>15.752791999999999</v>
      </c>
      <c r="P208">
        <v>11.174302000000001</v>
      </c>
      <c r="Q208">
        <v>35.839748</v>
      </c>
      <c r="R208">
        <v>1.797356</v>
      </c>
      <c r="S208">
        <v>0.88765700000000003</v>
      </c>
      <c r="T208">
        <v>0.50613200000000003</v>
      </c>
      <c r="U208">
        <v>2.4106049999999999</v>
      </c>
      <c r="V208">
        <v>227.827957</v>
      </c>
      <c r="W208">
        <v>6.5318069999999997</v>
      </c>
      <c r="X208">
        <v>0.51587700000000003</v>
      </c>
      <c r="Y208" t="s">
        <v>348</v>
      </c>
      <c r="Z208">
        <v>4.302943</v>
      </c>
      <c r="AA208">
        <v>9.1520170000000007</v>
      </c>
      <c r="AB208">
        <v>1.8</v>
      </c>
      <c r="AC208">
        <v>1.3634649999999999</v>
      </c>
      <c r="AD208">
        <v>0.2</v>
      </c>
      <c r="AE208">
        <v>6.5830000000000002</v>
      </c>
      <c r="AF208">
        <v>0</v>
      </c>
      <c r="AG208">
        <v>85.453697000000005</v>
      </c>
      <c r="AH208">
        <v>-30.607375999999999</v>
      </c>
      <c r="AI208">
        <v>255.86335800000001</v>
      </c>
      <c r="AJ208">
        <v>9.9070889999999991</v>
      </c>
      <c r="AK208">
        <v>130.115723</v>
      </c>
      <c r="AL208">
        <v>50.249104000000003</v>
      </c>
      <c r="AM208">
        <v>286.82119799999998</v>
      </c>
      <c r="AN208">
        <v>61.130245000000002</v>
      </c>
      <c r="AO208">
        <v>358.34710699999999</v>
      </c>
      <c r="AP208">
        <v>51.062393</v>
      </c>
      <c r="AQ208">
        <v>85.017371999999995</v>
      </c>
      <c r="AR208">
        <v>96.894165000000001</v>
      </c>
      <c r="AS208">
        <v>45.673800999999997</v>
      </c>
      <c r="AT208">
        <v>29.369423000000001</v>
      </c>
      <c r="AU208">
        <v>128.38824500000001</v>
      </c>
      <c r="AV208">
        <v>51.061351999999999</v>
      </c>
      <c r="AW208">
        <v>358.35437000000002</v>
      </c>
      <c r="AX208">
        <v>51.078434000000001</v>
      </c>
      <c r="AY208">
        <v>82.495255</v>
      </c>
      <c r="AZ208">
        <v>94.719550999999996</v>
      </c>
      <c r="BA208">
        <v>47.037266000000002</v>
      </c>
      <c r="BB208">
        <v>30.112431999999998</v>
      </c>
      <c r="BC208">
        <v>3.1505580000000002</v>
      </c>
      <c r="BD208">
        <v>195.40501399999999</v>
      </c>
      <c r="BE208">
        <v>53.123584999999999</v>
      </c>
      <c r="BF208">
        <v>53.133071999999999</v>
      </c>
      <c r="BG208">
        <v>46.292563999999999</v>
      </c>
      <c r="BH208">
        <v>11</v>
      </c>
      <c r="BI208">
        <v>7</v>
      </c>
      <c r="BJ208">
        <v>36.363636</v>
      </c>
      <c r="BK208">
        <v>98</v>
      </c>
      <c r="BL208">
        <v>3.2509999999999997E-2</v>
      </c>
      <c r="BM208">
        <v>1.516E-2</v>
      </c>
      <c r="BN208">
        <v>-1</v>
      </c>
      <c r="BO208">
        <v>3</v>
      </c>
      <c r="BP208">
        <v>1</v>
      </c>
      <c r="BQ208">
        <v>3.029998</v>
      </c>
      <c r="BR208">
        <v>53.911568000000003</v>
      </c>
      <c r="BS208">
        <v>43.280479</v>
      </c>
      <c r="BT208">
        <v>1.2461E-2</v>
      </c>
      <c r="BU208">
        <v>23.754135000000002</v>
      </c>
      <c r="BV208">
        <v>0.13473199999999999</v>
      </c>
      <c r="BW208">
        <v>6.9202669999999999</v>
      </c>
      <c r="BX208">
        <v>1.8659349999999999</v>
      </c>
      <c r="BY208">
        <v>3.719236</v>
      </c>
      <c r="BZ208">
        <v>0.82037800000000005</v>
      </c>
      <c r="CA208">
        <v>2020</v>
      </c>
      <c r="CB208">
        <v>3</v>
      </c>
      <c r="CC208">
        <v>26</v>
      </c>
      <c r="CD208">
        <v>23</v>
      </c>
      <c r="CE208">
        <v>31</v>
      </c>
      <c r="CF208">
        <v>16.890003</v>
      </c>
      <c r="CG208">
        <v>2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0.55637300000000001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</row>
    <row r="209" spans="1:105" x14ac:dyDescent="0.25">
      <c r="A209">
        <v>208</v>
      </c>
      <c r="B209" t="s">
        <v>349</v>
      </c>
      <c r="C209">
        <v>58935.001834000002</v>
      </c>
      <c r="D209">
        <v>6.5156890000000001</v>
      </c>
      <c r="E209" s="3" t="s">
        <v>194</v>
      </c>
      <c r="F209" s="3" t="s">
        <v>106</v>
      </c>
      <c r="G209">
        <v>-1.149141</v>
      </c>
      <c r="H209">
        <v>185.138733</v>
      </c>
      <c r="I209">
        <v>2.3940579999999998</v>
      </c>
      <c r="J209">
        <v>184.909851</v>
      </c>
      <c r="K209">
        <v>2.04955</v>
      </c>
      <c r="L209">
        <v>183.69220000000001</v>
      </c>
      <c r="M209">
        <v>3.8321019999999999</v>
      </c>
      <c r="N209">
        <v>69.423446999999996</v>
      </c>
      <c r="O209">
        <v>69.423446999999996</v>
      </c>
      <c r="P209">
        <v>68.513465999999994</v>
      </c>
      <c r="Q209">
        <v>75.628906000000001</v>
      </c>
      <c r="R209">
        <v>-0.22506300000000001</v>
      </c>
      <c r="S209">
        <v>0.35353699999999999</v>
      </c>
      <c r="T209">
        <v>2.5708319999999998</v>
      </c>
      <c r="U209">
        <v>0</v>
      </c>
      <c r="V209">
        <v>264.08078</v>
      </c>
      <c r="W209">
        <v>6.5181469999999999</v>
      </c>
      <c r="X209">
        <v>7.8477129999999997</v>
      </c>
      <c r="Y209" t="s">
        <v>114</v>
      </c>
      <c r="Z209">
        <v>-1</v>
      </c>
      <c r="AA209">
        <v>-1</v>
      </c>
      <c r="AB209">
        <v>-0.99</v>
      </c>
      <c r="AC209">
        <v>3.3713190000000002</v>
      </c>
      <c r="AD209">
        <v>0.121</v>
      </c>
      <c r="AE209">
        <v>27.865808000000001</v>
      </c>
      <c r="AF209">
        <v>0</v>
      </c>
      <c r="AG209">
        <v>99.617737000000005</v>
      </c>
      <c r="AH209">
        <v>-61.837048000000003</v>
      </c>
      <c r="AI209">
        <v>269.65481599999998</v>
      </c>
      <c r="AJ209">
        <v>-1.556074</v>
      </c>
      <c r="AK209">
        <v>140.861557</v>
      </c>
      <c r="AL209">
        <v>21.927021</v>
      </c>
      <c r="AM209">
        <v>244.41387900000001</v>
      </c>
      <c r="AN209">
        <v>45.322636000000003</v>
      </c>
      <c r="AO209">
        <v>-2.3084129999999998</v>
      </c>
      <c r="AP209">
        <v>51.587100999999997</v>
      </c>
      <c r="AQ209">
        <v>78.897064</v>
      </c>
      <c r="AR209">
        <v>110.36595199999999</v>
      </c>
      <c r="AS209">
        <v>47.219093000000001</v>
      </c>
      <c r="AT209">
        <v>15.622472999999999</v>
      </c>
      <c r="AU209">
        <v>137.382339</v>
      </c>
      <c r="AV209">
        <v>22.939173</v>
      </c>
      <c r="AW209">
        <v>-2.3123819999999999</v>
      </c>
      <c r="AX209">
        <v>51.643405999999999</v>
      </c>
      <c r="AY209">
        <v>73.413116000000002</v>
      </c>
      <c r="AZ209">
        <v>104.84198000000001</v>
      </c>
      <c r="BA209">
        <v>50.590412000000001</v>
      </c>
      <c r="BB209">
        <v>16.468399000000002</v>
      </c>
      <c r="BC209">
        <v>8.4002370000000006</v>
      </c>
      <c r="BD209">
        <v>177.15891999999999</v>
      </c>
      <c r="BE209">
        <v>40.661591000000001</v>
      </c>
      <c r="BF209">
        <v>40.389397000000002</v>
      </c>
      <c r="BG209">
        <v>40.048237</v>
      </c>
      <c r="BH209">
        <v>5</v>
      </c>
      <c r="BI209">
        <v>2</v>
      </c>
      <c r="BJ209">
        <v>20</v>
      </c>
      <c r="BK209">
        <v>0</v>
      </c>
      <c r="BL209">
        <v>0.1</v>
      </c>
      <c r="BM209">
        <v>0.1</v>
      </c>
      <c r="BN209">
        <v>0</v>
      </c>
      <c r="BO209">
        <v>0</v>
      </c>
      <c r="BP209">
        <v>1</v>
      </c>
      <c r="BQ209">
        <v>2.4800010000000001</v>
      </c>
      <c r="BR209">
        <v>106.762535</v>
      </c>
      <c r="BS209">
        <v>21.525316</v>
      </c>
      <c r="BT209">
        <v>1.0281E-2</v>
      </c>
      <c r="BU209">
        <v>37.612254999999998</v>
      </c>
      <c r="BV209">
        <v>50.717208999999997</v>
      </c>
      <c r="BW209">
        <v>0.41351399999999999</v>
      </c>
      <c r="BX209">
        <v>5.9188689999999999</v>
      </c>
      <c r="BY209">
        <v>20.878843</v>
      </c>
      <c r="BZ209">
        <v>4.3740000000000003E-3</v>
      </c>
      <c r="CA209">
        <v>2020</v>
      </c>
      <c r="CB209">
        <v>3</v>
      </c>
      <c r="CC209">
        <v>27</v>
      </c>
      <c r="CD209">
        <v>0</v>
      </c>
      <c r="CE209">
        <v>2</v>
      </c>
      <c r="CF209">
        <v>38.43</v>
      </c>
      <c r="CG209">
        <v>2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-4.4431940000000001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</row>
    <row r="210" spans="1:105" x14ac:dyDescent="0.25">
      <c r="A210">
        <v>209</v>
      </c>
      <c r="B210" t="s">
        <v>350</v>
      </c>
      <c r="C210">
        <v>58935.020578000003</v>
      </c>
      <c r="D210">
        <v>6.5342460000000004</v>
      </c>
      <c r="E210" s="2" t="s">
        <v>125</v>
      </c>
      <c r="F210" s="2" t="s">
        <v>106</v>
      </c>
      <c r="G210">
        <v>-2.6077750000000002</v>
      </c>
      <c r="H210">
        <v>268.53955100000002</v>
      </c>
      <c r="I210">
        <v>26.050274000000002</v>
      </c>
      <c r="J210">
        <v>269.07797199999999</v>
      </c>
      <c r="K210">
        <v>25.575859000000001</v>
      </c>
      <c r="L210">
        <v>268.73202500000002</v>
      </c>
      <c r="M210">
        <v>49.008453000000003</v>
      </c>
      <c r="N210">
        <v>52.341830999999999</v>
      </c>
      <c r="O210">
        <v>52.341830999999999</v>
      </c>
      <c r="P210">
        <v>50.876331</v>
      </c>
      <c r="Q210">
        <v>38.747280000000003</v>
      </c>
      <c r="R210">
        <v>3.2062279999999999</v>
      </c>
      <c r="S210">
        <v>0.98461299999999996</v>
      </c>
      <c r="T210">
        <v>0.69290600000000002</v>
      </c>
      <c r="U210">
        <v>5.7433639999999997</v>
      </c>
      <c r="V210">
        <v>194.63864100000001</v>
      </c>
      <c r="W210">
        <v>6.5342180000000001</v>
      </c>
      <c r="X210">
        <v>94.775229999999993</v>
      </c>
      <c r="Y210" t="s">
        <v>114</v>
      </c>
      <c r="Z210">
        <v>-1</v>
      </c>
      <c r="AA210">
        <v>-1</v>
      </c>
      <c r="AB210">
        <v>-1.8</v>
      </c>
      <c r="AC210">
        <v>11.874451000000001</v>
      </c>
      <c r="AD210">
        <v>0.57999999999999996</v>
      </c>
      <c r="AE210">
        <v>20.565999999999999</v>
      </c>
      <c r="AF210">
        <v>0</v>
      </c>
      <c r="AG210">
        <v>5.3453720000000002</v>
      </c>
      <c r="AH210">
        <v>13.627352</v>
      </c>
      <c r="AI210">
        <v>8.1274650000000008</v>
      </c>
      <c r="AJ210">
        <v>-37.164051000000001</v>
      </c>
      <c r="AK210">
        <v>117.86122899999999</v>
      </c>
      <c r="AL210">
        <v>57.662941000000004</v>
      </c>
      <c r="AM210">
        <v>307.76586900000001</v>
      </c>
      <c r="AN210">
        <v>49.680340000000001</v>
      </c>
      <c r="AO210">
        <v>-2.371553</v>
      </c>
      <c r="AP210">
        <v>52.369205000000001</v>
      </c>
      <c r="AQ210">
        <v>109.288849</v>
      </c>
      <c r="AR210">
        <v>142.75801100000001</v>
      </c>
      <c r="AS210">
        <v>92.747696000000005</v>
      </c>
      <c r="AT210">
        <v>25.035999</v>
      </c>
      <c r="AU210">
        <v>110.26413700000001</v>
      </c>
      <c r="AV210">
        <v>46.720886</v>
      </c>
      <c r="AW210">
        <v>-2.7579720000000001</v>
      </c>
      <c r="AX210">
        <v>52.333919999999999</v>
      </c>
      <c r="AY210">
        <v>95.493842999999998</v>
      </c>
      <c r="AZ210">
        <v>147.36685199999999</v>
      </c>
      <c r="BA210">
        <v>104.622147</v>
      </c>
      <c r="BB210">
        <v>24.201854999999998</v>
      </c>
      <c r="BC210">
        <v>30.358260999999999</v>
      </c>
      <c r="BD210">
        <v>81.615097000000006</v>
      </c>
      <c r="BE210">
        <v>27.021018999999999</v>
      </c>
      <c r="BF210">
        <v>27.591272</v>
      </c>
      <c r="BG210">
        <v>26.913934999999999</v>
      </c>
      <c r="BH210">
        <v>30</v>
      </c>
      <c r="BI210">
        <v>30</v>
      </c>
      <c r="BJ210">
        <v>0</v>
      </c>
      <c r="BK210">
        <v>19</v>
      </c>
      <c r="BL210">
        <v>3.7690000000000001E-2</v>
      </c>
      <c r="BM210">
        <v>1.409E-2</v>
      </c>
      <c r="BN210">
        <v>-1</v>
      </c>
      <c r="BO210">
        <v>3</v>
      </c>
      <c r="BP210">
        <v>1</v>
      </c>
      <c r="BQ210">
        <v>0.210007</v>
      </c>
      <c r="BR210">
        <v>105.113434</v>
      </c>
      <c r="BS210">
        <v>25.066803</v>
      </c>
      <c r="BT210">
        <v>6.9499999999999998E-4</v>
      </c>
      <c r="BU210">
        <v>62.528004000000003</v>
      </c>
      <c r="BV210">
        <v>0.389102</v>
      </c>
      <c r="BW210">
        <v>0.67823199999999995</v>
      </c>
      <c r="BX210">
        <v>0.83729399999999998</v>
      </c>
      <c r="BY210">
        <v>2.0424169999999999</v>
      </c>
      <c r="BZ210">
        <v>0.93481599999999998</v>
      </c>
      <c r="CA210">
        <v>2020</v>
      </c>
      <c r="CB210">
        <v>3</v>
      </c>
      <c r="CC210">
        <v>27</v>
      </c>
      <c r="CD210">
        <v>0</v>
      </c>
      <c r="CE210">
        <v>29</v>
      </c>
      <c r="CF210">
        <v>37.919998</v>
      </c>
      <c r="CG210">
        <v>2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0.31189299999999998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</row>
    <row r="211" spans="1:105" x14ac:dyDescent="0.25">
      <c r="A211">
        <v>210</v>
      </c>
      <c r="B211" t="s">
        <v>351</v>
      </c>
      <c r="C211">
        <v>58935.067010999999</v>
      </c>
      <c r="D211">
        <v>6.5802170000000002</v>
      </c>
      <c r="E211" s="3" t="s">
        <v>153</v>
      </c>
      <c r="F211" s="3" t="s">
        <v>154</v>
      </c>
      <c r="G211">
        <v>-0.27483999999999997</v>
      </c>
      <c r="H211">
        <v>277.23889200000002</v>
      </c>
      <c r="I211">
        <v>62.057205000000003</v>
      </c>
      <c r="J211">
        <v>281.46981799999998</v>
      </c>
      <c r="K211">
        <v>62.075465999999999</v>
      </c>
      <c r="L211">
        <v>323.19921900000003</v>
      </c>
      <c r="M211">
        <v>83.321404000000001</v>
      </c>
      <c r="N211">
        <v>24.477104000000001</v>
      </c>
      <c r="O211">
        <v>24.477104000000001</v>
      </c>
      <c r="P211">
        <v>21.631482999999999</v>
      </c>
      <c r="Q211">
        <v>35.469963</v>
      </c>
      <c r="R211">
        <v>1.7063470000000001</v>
      </c>
      <c r="S211">
        <v>0.99065099999999995</v>
      </c>
      <c r="T211">
        <v>0.419431</v>
      </c>
      <c r="U211">
        <v>2.2298499999999999</v>
      </c>
      <c r="V211">
        <v>167.28327899999999</v>
      </c>
      <c r="W211">
        <v>6.5806589999999998</v>
      </c>
      <c r="X211">
        <v>37.375163999999998</v>
      </c>
      <c r="Y211" t="s">
        <v>114</v>
      </c>
      <c r="Z211">
        <v>-1</v>
      </c>
      <c r="AA211">
        <v>-1</v>
      </c>
      <c r="AB211">
        <v>1.4</v>
      </c>
      <c r="AC211">
        <v>1.2588280000000001</v>
      </c>
      <c r="AD211">
        <v>0.22</v>
      </c>
      <c r="AE211">
        <v>5.83</v>
      </c>
      <c r="AF211">
        <v>0</v>
      </c>
      <c r="AG211">
        <v>350.910461</v>
      </c>
      <c r="AH211">
        <v>-8.4818169999999995</v>
      </c>
      <c r="AI211">
        <v>53.666469999999997</v>
      </c>
      <c r="AJ211">
        <v>-27.033004999999999</v>
      </c>
      <c r="AK211">
        <v>261.20214800000002</v>
      </c>
      <c r="AL211">
        <v>1.955354</v>
      </c>
      <c r="AM211">
        <v>118.452522</v>
      </c>
      <c r="AN211">
        <v>23.555225</v>
      </c>
      <c r="AO211">
        <v>1.033922</v>
      </c>
      <c r="AP211">
        <v>49.945689999999999</v>
      </c>
      <c r="AQ211">
        <v>90.554267999999993</v>
      </c>
      <c r="AR211">
        <v>217.523224</v>
      </c>
      <c r="AS211">
        <v>61.299244000000002</v>
      </c>
      <c r="AT211">
        <v>5.8701220000000003</v>
      </c>
      <c r="AU211">
        <v>261.01638800000001</v>
      </c>
      <c r="AV211">
        <v>0.71029900000000001</v>
      </c>
      <c r="AW211">
        <v>1.0019720000000001</v>
      </c>
      <c r="AX211">
        <v>49.925068000000003</v>
      </c>
      <c r="AY211">
        <v>86.282661000000004</v>
      </c>
      <c r="AZ211">
        <v>214.98852500000001</v>
      </c>
      <c r="BA211">
        <v>62.558075000000002</v>
      </c>
      <c r="BB211">
        <v>5.9395790000000002</v>
      </c>
      <c r="BC211">
        <v>5.3849629999999999</v>
      </c>
      <c r="BD211">
        <v>45.146244000000003</v>
      </c>
      <c r="BE211">
        <v>52.485740999999997</v>
      </c>
      <c r="BF211">
        <v>52.008510999999999</v>
      </c>
      <c r="BG211">
        <v>50.124988999999999</v>
      </c>
      <c r="BH211">
        <v>12</v>
      </c>
      <c r="BI211">
        <v>8</v>
      </c>
      <c r="BJ211">
        <v>33.333331999999999</v>
      </c>
      <c r="BK211">
        <v>14</v>
      </c>
      <c r="BL211">
        <v>1.3010000000000001E-2</v>
      </c>
      <c r="BM211">
        <v>1.142E-2</v>
      </c>
      <c r="BN211">
        <v>-1</v>
      </c>
      <c r="BO211">
        <v>3</v>
      </c>
      <c r="BP211">
        <v>1</v>
      </c>
      <c r="BQ211">
        <v>0.26999400000000001</v>
      </c>
      <c r="BR211">
        <v>27.946843999999999</v>
      </c>
      <c r="BS211">
        <v>6.6959</v>
      </c>
      <c r="BT211">
        <v>1.1598000000000001E-2</v>
      </c>
      <c r="BU211">
        <v>69.366981999999993</v>
      </c>
      <c r="BV211">
        <v>5.3565699999999996</v>
      </c>
      <c r="BW211">
        <v>1.981706</v>
      </c>
      <c r="BX211">
        <v>6.95</v>
      </c>
      <c r="BY211">
        <v>67.162979000000007</v>
      </c>
      <c r="BZ211">
        <v>0.29641200000000001</v>
      </c>
      <c r="CA211">
        <v>2020</v>
      </c>
      <c r="CB211">
        <v>3</v>
      </c>
      <c r="CC211">
        <v>27</v>
      </c>
      <c r="CD211">
        <v>1</v>
      </c>
      <c r="CE211">
        <v>36</v>
      </c>
      <c r="CF211">
        <v>29.790001</v>
      </c>
      <c r="CG211">
        <v>2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0.58604699999999998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</row>
    <row r="212" spans="1:105" x14ac:dyDescent="0.25">
      <c r="A212">
        <v>211</v>
      </c>
      <c r="B212" t="s">
        <v>352</v>
      </c>
      <c r="C212">
        <v>58935.085054000003</v>
      </c>
      <c r="D212">
        <v>6.5980800000000004</v>
      </c>
      <c r="E212" s="3" t="s">
        <v>154</v>
      </c>
      <c r="F212" s="3" t="s">
        <v>191</v>
      </c>
      <c r="G212">
        <v>-0.39467099999999999</v>
      </c>
      <c r="H212">
        <v>254.160889</v>
      </c>
      <c r="I212">
        <v>-28.760726999999999</v>
      </c>
      <c r="J212">
        <v>254.25958299999999</v>
      </c>
      <c r="K212">
        <v>-29.450516</v>
      </c>
      <c r="L212">
        <v>256.23855600000002</v>
      </c>
      <c r="M212">
        <v>-6.7626520000000001</v>
      </c>
      <c r="N212">
        <v>70.756348000000003</v>
      </c>
      <c r="O212">
        <v>70.756348000000003</v>
      </c>
      <c r="P212">
        <v>69.702231999999995</v>
      </c>
      <c r="Q212">
        <v>43.029915000000003</v>
      </c>
      <c r="R212">
        <v>-12.059044</v>
      </c>
      <c r="S212">
        <v>0.70616299999999999</v>
      </c>
      <c r="T212">
        <v>1.058559</v>
      </c>
      <c r="U212">
        <v>0</v>
      </c>
      <c r="V212">
        <v>64.438193999999996</v>
      </c>
      <c r="W212">
        <v>186.59951799999999</v>
      </c>
      <c r="X212">
        <v>166.81669600000001</v>
      </c>
      <c r="Y212" t="s">
        <v>114</v>
      </c>
      <c r="Z212">
        <v>-1</v>
      </c>
      <c r="AA212">
        <v>-1</v>
      </c>
      <c r="AB212">
        <v>0.9</v>
      </c>
      <c r="AC212">
        <v>8.1836669999999998</v>
      </c>
      <c r="AD212">
        <v>0.64</v>
      </c>
      <c r="AE212">
        <v>12.49</v>
      </c>
      <c r="AF212">
        <v>0</v>
      </c>
      <c r="AG212">
        <v>336.26541099999997</v>
      </c>
      <c r="AH212">
        <v>14.051043</v>
      </c>
      <c r="AI212">
        <v>296.64666699999998</v>
      </c>
      <c r="AJ212">
        <v>-20.500730999999998</v>
      </c>
      <c r="AK212">
        <v>246.00628699999999</v>
      </c>
      <c r="AL212">
        <v>1.035164</v>
      </c>
      <c r="AM212">
        <v>141.04461699999999</v>
      </c>
      <c r="AN212">
        <v>33.333561000000003</v>
      </c>
      <c r="AO212">
        <v>0.40435700000000002</v>
      </c>
      <c r="AP212">
        <v>49.782017000000003</v>
      </c>
      <c r="AQ212">
        <v>112.69931</v>
      </c>
      <c r="AR212">
        <v>200.142685</v>
      </c>
      <c r="AS212">
        <v>30.802361000000001</v>
      </c>
      <c r="AT212">
        <v>11.999819</v>
      </c>
      <c r="AU212">
        <v>244.0009</v>
      </c>
      <c r="AV212">
        <v>8.97166</v>
      </c>
      <c r="AW212">
        <v>6.7168000000000005E-2</v>
      </c>
      <c r="AX212">
        <v>50.116436</v>
      </c>
      <c r="AY212">
        <v>109.338776</v>
      </c>
      <c r="AZ212">
        <v>162.90538000000001</v>
      </c>
      <c r="BA212">
        <v>38.986027</v>
      </c>
      <c r="BB212">
        <v>14.799234</v>
      </c>
      <c r="BC212">
        <v>45.284061000000001</v>
      </c>
      <c r="BD212">
        <v>146.843872</v>
      </c>
      <c r="BE212">
        <v>4.3124070000000003</v>
      </c>
      <c r="BF212">
        <v>2.8459989999999999</v>
      </c>
      <c r="BG212">
        <v>2.1799780000000002</v>
      </c>
      <c r="BH212">
        <v>33</v>
      </c>
      <c r="BI212">
        <v>32</v>
      </c>
      <c r="BJ212">
        <v>3.030303</v>
      </c>
      <c r="BK212">
        <v>56</v>
      </c>
      <c r="BL212">
        <v>1.4619999999999999E-2</v>
      </c>
      <c r="BM212">
        <v>7.8300000000000002E-3</v>
      </c>
      <c r="BN212">
        <v>-1</v>
      </c>
      <c r="BO212">
        <v>3</v>
      </c>
      <c r="BP212">
        <v>1</v>
      </c>
      <c r="BQ212">
        <v>3.3700079999999999</v>
      </c>
      <c r="BR212">
        <v>53.911568000000003</v>
      </c>
      <c r="BS212">
        <v>23.954360999999999</v>
      </c>
      <c r="BT212">
        <v>1.312E-2</v>
      </c>
      <c r="BU212">
        <v>51.211646999999999</v>
      </c>
      <c r="BV212">
        <v>5.6902520000000001</v>
      </c>
      <c r="BW212">
        <v>0.69515800000000005</v>
      </c>
      <c r="BX212">
        <v>0.18753600000000001</v>
      </c>
      <c r="BY212">
        <v>0.73418899999999998</v>
      </c>
      <c r="BZ212">
        <v>0.68457400000000002</v>
      </c>
      <c r="CA212">
        <v>2020</v>
      </c>
      <c r="CB212">
        <v>3</v>
      </c>
      <c r="CC212">
        <v>27</v>
      </c>
      <c r="CD212">
        <v>2</v>
      </c>
      <c r="CE212">
        <v>2</v>
      </c>
      <c r="CF212">
        <v>28.679995999999999</v>
      </c>
      <c r="CG212">
        <v>2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-8.2924999999999999E-2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</row>
    <row r="213" spans="1:105" x14ac:dyDescent="0.25">
      <c r="A213">
        <v>212</v>
      </c>
      <c r="B213" t="s">
        <v>353</v>
      </c>
      <c r="C213">
        <v>58935.187948999999</v>
      </c>
      <c r="D213">
        <v>6.6999440000000003</v>
      </c>
      <c r="E213" s="3" t="s">
        <v>106</v>
      </c>
      <c r="F213" s="3" t="s">
        <v>191</v>
      </c>
      <c r="G213">
        <v>0.30690299999999998</v>
      </c>
      <c r="H213">
        <v>298.35601800000001</v>
      </c>
      <c r="I213">
        <v>-2.1132979999999999</v>
      </c>
      <c r="J213">
        <v>298.49011200000001</v>
      </c>
      <c r="K213">
        <v>-2.6742170000000001</v>
      </c>
      <c r="L213">
        <v>300.03707900000001</v>
      </c>
      <c r="M213">
        <v>17.841234</v>
      </c>
      <c r="N213">
        <v>61.251159999999999</v>
      </c>
      <c r="O213">
        <v>61.251159999999999</v>
      </c>
      <c r="P213">
        <v>60.006081000000002</v>
      </c>
      <c r="Q213">
        <v>37.188060999999998</v>
      </c>
      <c r="R213">
        <v>2.2458680000000002</v>
      </c>
      <c r="S213">
        <v>0.54152599999999995</v>
      </c>
      <c r="T213">
        <v>0.75887899999999997</v>
      </c>
      <c r="U213">
        <v>3.3670620000000002</v>
      </c>
      <c r="V213">
        <v>86.560089000000005</v>
      </c>
      <c r="W213">
        <v>6.6995319999999996</v>
      </c>
      <c r="X213">
        <v>140.86326600000001</v>
      </c>
      <c r="Y213" t="s">
        <v>114</v>
      </c>
      <c r="Z213">
        <v>-1</v>
      </c>
      <c r="AA213">
        <v>-1</v>
      </c>
      <c r="AB213">
        <v>0.6</v>
      </c>
      <c r="AC213">
        <v>4.2912400000000002</v>
      </c>
      <c r="AD213">
        <v>0.14000000000000001</v>
      </c>
      <c r="AE213">
        <v>30.902999999999999</v>
      </c>
      <c r="AF213">
        <v>0</v>
      </c>
      <c r="AG213">
        <v>26.297671999999999</v>
      </c>
      <c r="AH213">
        <v>44.226306999999998</v>
      </c>
      <c r="AI213">
        <v>314.378174</v>
      </c>
      <c r="AJ213">
        <v>-30.293199999999999</v>
      </c>
      <c r="AK213">
        <v>210.73289500000001</v>
      </c>
      <c r="AL213">
        <v>45.687801</v>
      </c>
      <c r="AM213">
        <v>274.84258999999997</v>
      </c>
      <c r="AN213">
        <v>62.695877000000003</v>
      </c>
      <c r="AO213">
        <v>-1.7536430000000001</v>
      </c>
      <c r="AP213">
        <v>50.981236000000003</v>
      </c>
      <c r="AQ213">
        <v>101.85618599999999</v>
      </c>
      <c r="AR213">
        <v>114.30130800000001</v>
      </c>
      <c r="AS213">
        <v>89.853012000000007</v>
      </c>
      <c r="AT213">
        <v>20.630222</v>
      </c>
      <c r="AU213">
        <v>204.585342</v>
      </c>
      <c r="AV213">
        <v>45.760902000000002</v>
      </c>
      <c r="AW213">
        <v>-1.842141</v>
      </c>
      <c r="AX213">
        <v>51.022778000000002</v>
      </c>
      <c r="AY213">
        <v>98.452918999999994</v>
      </c>
      <c r="AZ213">
        <v>114.600594</v>
      </c>
      <c r="BA213">
        <v>94.144249000000002</v>
      </c>
      <c r="BB213">
        <v>20.573899999999998</v>
      </c>
      <c r="BC213">
        <v>8.5751629999999999</v>
      </c>
      <c r="BD213">
        <v>126.469421</v>
      </c>
      <c r="BE213">
        <v>23.329456</v>
      </c>
      <c r="BF213">
        <v>23.725002</v>
      </c>
      <c r="BG213">
        <v>23.172363000000001</v>
      </c>
      <c r="BH213">
        <v>8</v>
      </c>
      <c r="BI213">
        <v>8</v>
      </c>
      <c r="BJ213">
        <v>0</v>
      </c>
      <c r="BK213">
        <v>78</v>
      </c>
      <c r="BL213">
        <v>2.9790000000000001E-2</v>
      </c>
      <c r="BM213">
        <v>1.78E-2</v>
      </c>
      <c r="BN213">
        <v>-1</v>
      </c>
      <c r="BO213">
        <v>3</v>
      </c>
      <c r="BP213">
        <v>1</v>
      </c>
      <c r="BQ213">
        <v>2.910002</v>
      </c>
      <c r="BR213">
        <v>53.910876999999999</v>
      </c>
      <c r="BS213">
        <v>20.630293000000002</v>
      </c>
      <c r="BT213">
        <v>1.0488000000000001E-2</v>
      </c>
      <c r="BU213">
        <v>32.020511999999997</v>
      </c>
      <c r="BV213">
        <v>0.55435900000000005</v>
      </c>
      <c r="BW213">
        <v>0.57669800000000004</v>
      </c>
      <c r="BX213">
        <v>2.246772</v>
      </c>
      <c r="BY213">
        <v>6.393497</v>
      </c>
      <c r="BZ213">
        <v>0.80482799999999999</v>
      </c>
      <c r="CA213">
        <v>2020</v>
      </c>
      <c r="CB213">
        <v>3</v>
      </c>
      <c r="CC213">
        <v>27</v>
      </c>
      <c r="CD213">
        <v>4</v>
      </c>
      <c r="CE213">
        <v>30</v>
      </c>
      <c r="CF213">
        <v>38.769996999999996</v>
      </c>
      <c r="CG213">
        <v>2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0.44526199999999999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</row>
    <row r="214" spans="1:105" x14ac:dyDescent="0.25">
      <c r="A214">
        <v>213</v>
      </c>
      <c r="B214" t="s">
        <v>354</v>
      </c>
      <c r="C214">
        <v>58935.198156999999</v>
      </c>
      <c r="D214">
        <v>6.7100499999999998</v>
      </c>
      <c r="E214" s="3" t="s">
        <v>111</v>
      </c>
      <c r="F214" s="3" t="s">
        <v>110</v>
      </c>
      <c r="G214">
        <v>-2.3863919999999998</v>
      </c>
      <c r="H214">
        <v>210.489777</v>
      </c>
      <c r="I214">
        <v>25.092967999999999</v>
      </c>
      <c r="J214">
        <v>209.252869</v>
      </c>
      <c r="K214">
        <v>24.002264</v>
      </c>
      <c r="L214">
        <v>197.27029400000001</v>
      </c>
      <c r="M214">
        <v>33.419640000000001</v>
      </c>
      <c r="N214">
        <v>34.915615000000003</v>
      </c>
      <c r="O214">
        <v>34.915615000000003</v>
      </c>
      <c r="P214">
        <v>33.275948</v>
      </c>
      <c r="Q214">
        <v>40.842083000000002</v>
      </c>
      <c r="R214">
        <v>8.0739490000000007</v>
      </c>
      <c r="S214">
        <v>0.55156499999999997</v>
      </c>
      <c r="T214">
        <v>0.93168600000000001</v>
      </c>
      <c r="U214">
        <v>22.951112999999999</v>
      </c>
      <c r="V214">
        <v>265.83483899999999</v>
      </c>
      <c r="W214">
        <v>6.710502</v>
      </c>
      <c r="X214">
        <v>36.505699</v>
      </c>
      <c r="Y214" t="s">
        <v>114</v>
      </c>
      <c r="Z214">
        <v>-1</v>
      </c>
      <c r="AA214">
        <v>-1</v>
      </c>
      <c r="AB214">
        <v>-1.6</v>
      </c>
      <c r="AC214">
        <v>6.0929659999999997</v>
      </c>
      <c r="AD214">
        <v>0.44</v>
      </c>
      <c r="AE214">
        <v>13.922000000000001</v>
      </c>
      <c r="AF214">
        <v>0</v>
      </c>
      <c r="AG214">
        <v>117.683907</v>
      </c>
      <c r="AH214">
        <v>5.9677199999999999</v>
      </c>
      <c r="AI214">
        <v>204.41842700000001</v>
      </c>
      <c r="AJ214">
        <v>35.502322999999997</v>
      </c>
      <c r="AK214">
        <v>7.5336350000000003</v>
      </c>
      <c r="AL214">
        <v>73.119408000000007</v>
      </c>
      <c r="AM214">
        <v>21.161221999999999</v>
      </c>
      <c r="AN214">
        <v>42.380226</v>
      </c>
      <c r="AO214">
        <v>-0.46460400000000002</v>
      </c>
      <c r="AP214">
        <v>51.820174999999999</v>
      </c>
      <c r="AQ214">
        <v>98.432937999999993</v>
      </c>
      <c r="AR214">
        <v>144.49491900000001</v>
      </c>
      <c r="AS214">
        <v>80.580070000000006</v>
      </c>
      <c r="AT214">
        <v>45.983891</v>
      </c>
      <c r="AU214">
        <v>13.1919</v>
      </c>
      <c r="AV214">
        <v>67.328270000000003</v>
      </c>
      <c r="AW214">
        <v>-0.32262000000000002</v>
      </c>
      <c r="AX214">
        <v>51.852066000000001</v>
      </c>
      <c r="AY214">
        <v>87.288300000000007</v>
      </c>
      <c r="AZ214">
        <v>142.78710899999999</v>
      </c>
      <c r="BA214">
        <v>86.673034999999999</v>
      </c>
      <c r="BB214">
        <v>46.697749999999999</v>
      </c>
      <c r="BC214">
        <v>15.362871</v>
      </c>
      <c r="BD214">
        <v>249.50413499999999</v>
      </c>
      <c r="BE214">
        <v>46.609993000000003</v>
      </c>
      <c r="BF214">
        <v>47.241168999999999</v>
      </c>
      <c r="BG214">
        <v>45.680809000000004</v>
      </c>
      <c r="BH214">
        <v>23</v>
      </c>
      <c r="BI214">
        <v>23</v>
      </c>
      <c r="BJ214">
        <v>0</v>
      </c>
      <c r="BK214">
        <v>75</v>
      </c>
      <c r="BL214">
        <v>2.248E-2</v>
      </c>
      <c r="BM214">
        <v>7.3200000000000001E-3</v>
      </c>
      <c r="BN214">
        <v>-1</v>
      </c>
      <c r="BO214">
        <v>3</v>
      </c>
      <c r="BP214">
        <v>1</v>
      </c>
      <c r="BQ214">
        <v>1.360001</v>
      </c>
      <c r="BR214">
        <v>105.11901899999999</v>
      </c>
      <c r="BS214">
        <v>46.800488000000001</v>
      </c>
      <c r="BT214">
        <v>4.6210000000000001E-3</v>
      </c>
      <c r="BU214">
        <v>85.444076999999993</v>
      </c>
      <c r="BV214">
        <v>1.6276550000000001</v>
      </c>
      <c r="BW214">
        <v>1.5669850000000001</v>
      </c>
      <c r="BX214">
        <v>0.46845599999999998</v>
      </c>
      <c r="BY214">
        <v>0.64370799999999995</v>
      </c>
      <c r="BZ214">
        <v>0.976603</v>
      </c>
      <c r="CA214">
        <v>2020</v>
      </c>
      <c r="CB214">
        <v>3</v>
      </c>
      <c r="CC214">
        <v>27</v>
      </c>
      <c r="CD214">
        <v>4</v>
      </c>
      <c r="CE214">
        <v>45</v>
      </c>
      <c r="CF214">
        <v>20.799994999999999</v>
      </c>
      <c r="CG214">
        <v>2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0.12385500000000001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</row>
    <row r="215" spans="1:105" x14ac:dyDescent="0.25">
      <c r="A215">
        <v>214</v>
      </c>
      <c r="B215" t="s">
        <v>355</v>
      </c>
      <c r="C215">
        <v>58935.200496999998</v>
      </c>
      <c r="D215">
        <v>6.7123660000000003</v>
      </c>
      <c r="E215" s="3" t="s">
        <v>106</v>
      </c>
      <c r="F215" s="3" t="s">
        <v>191</v>
      </c>
      <c r="G215">
        <v>0.91516600000000004</v>
      </c>
      <c r="H215">
        <v>196.42749000000001</v>
      </c>
      <c r="I215">
        <v>-8.7337720000000001</v>
      </c>
      <c r="J215">
        <v>194.20791600000001</v>
      </c>
      <c r="K215">
        <v>-11.492464</v>
      </c>
      <c r="L215">
        <v>197.52171300000001</v>
      </c>
      <c r="M215">
        <v>-4.9990110000000003</v>
      </c>
      <c r="N215">
        <v>30.03492</v>
      </c>
      <c r="O215">
        <v>30.03492</v>
      </c>
      <c r="P215">
        <v>28.146778000000001</v>
      </c>
      <c r="Q215">
        <v>36.642978999999997</v>
      </c>
      <c r="R215">
        <v>2.0382400000000001</v>
      </c>
      <c r="S215">
        <v>0.37793500000000002</v>
      </c>
      <c r="T215">
        <v>0.81457800000000002</v>
      </c>
      <c r="U215">
        <v>2.9111039999999999</v>
      </c>
      <c r="V215">
        <v>112.58023799999999</v>
      </c>
      <c r="W215">
        <v>186.70901499999999</v>
      </c>
      <c r="X215">
        <v>5.6937720000000001</v>
      </c>
      <c r="Y215" t="s">
        <v>114</v>
      </c>
      <c r="Z215">
        <v>-1</v>
      </c>
      <c r="AA215">
        <v>-1</v>
      </c>
      <c r="AB215">
        <v>1.1000000000000001</v>
      </c>
      <c r="AC215">
        <v>1.5824579999999999</v>
      </c>
      <c r="AD215">
        <v>0.14000000000000001</v>
      </c>
      <c r="AE215">
        <v>11.680999999999999</v>
      </c>
      <c r="AF215">
        <v>0</v>
      </c>
      <c r="AG215">
        <v>111.701599</v>
      </c>
      <c r="AH215">
        <v>30.894013999999999</v>
      </c>
      <c r="AI215">
        <v>215.135178</v>
      </c>
      <c r="AJ215">
        <v>33.199931999999997</v>
      </c>
      <c r="AK215">
        <v>221.80384799999999</v>
      </c>
      <c r="AL215">
        <v>29.878429000000001</v>
      </c>
      <c r="AM215">
        <v>243.435959</v>
      </c>
      <c r="AN215">
        <v>56.927666000000002</v>
      </c>
      <c r="AO215">
        <v>-1.7747230000000001</v>
      </c>
      <c r="AP215">
        <v>50.702979999999997</v>
      </c>
      <c r="AQ215">
        <v>92.847412000000006</v>
      </c>
      <c r="AR215">
        <v>110.35433999999999</v>
      </c>
      <c r="AS215">
        <v>45.677630999999998</v>
      </c>
      <c r="AT215">
        <v>8.4454779999999996</v>
      </c>
      <c r="AU215">
        <v>222.89233400000001</v>
      </c>
      <c r="AV215">
        <v>31.15316</v>
      </c>
      <c r="AW215">
        <v>-1.725185</v>
      </c>
      <c r="AX215">
        <v>50.721198999999999</v>
      </c>
      <c r="AY215">
        <v>91.930733000000004</v>
      </c>
      <c r="AZ215">
        <v>107.415047</v>
      </c>
      <c r="BA215">
        <v>47.260075000000001</v>
      </c>
      <c r="BB215">
        <v>8.6783389999999994</v>
      </c>
      <c r="BC215">
        <v>4.2048889999999997</v>
      </c>
      <c r="BD215">
        <v>239.71957399999999</v>
      </c>
      <c r="BE215">
        <v>11.844757</v>
      </c>
      <c r="BF215">
        <v>11.313751999999999</v>
      </c>
      <c r="BG215">
        <v>7.8054829999999997</v>
      </c>
      <c r="BH215">
        <v>8</v>
      </c>
      <c r="BI215">
        <v>5</v>
      </c>
      <c r="BJ215">
        <v>37.5</v>
      </c>
      <c r="BK215">
        <v>29</v>
      </c>
      <c r="BL215">
        <v>2.9340000000000001E-2</v>
      </c>
      <c r="BM215">
        <v>5.28E-3</v>
      </c>
      <c r="BN215">
        <v>-1</v>
      </c>
      <c r="BO215">
        <v>1</v>
      </c>
      <c r="BP215">
        <v>1</v>
      </c>
      <c r="BQ215">
        <v>3.2500019999999998</v>
      </c>
      <c r="BR215">
        <v>53.911568000000003</v>
      </c>
      <c r="BS215">
        <v>11.842402</v>
      </c>
      <c r="BT215">
        <v>0.147732</v>
      </c>
      <c r="BU215">
        <v>16.539413</v>
      </c>
      <c r="BV215">
        <v>0.59340300000000001</v>
      </c>
      <c r="BW215">
        <v>3.5190860000000002</v>
      </c>
      <c r="BX215">
        <v>4.5414060000000003</v>
      </c>
      <c r="BY215">
        <v>30.098037999999999</v>
      </c>
      <c r="BZ215">
        <v>0.46924300000000002</v>
      </c>
      <c r="CA215">
        <v>2020</v>
      </c>
      <c r="CB215">
        <v>3</v>
      </c>
      <c r="CC215">
        <v>27</v>
      </c>
      <c r="CD215">
        <v>4</v>
      </c>
      <c r="CE215">
        <v>48</v>
      </c>
      <c r="CF215">
        <v>42.98</v>
      </c>
      <c r="CG215">
        <v>2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0.49061900000000003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</row>
    <row r="216" spans="1:105" x14ac:dyDescent="0.25">
      <c r="A216">
        <v>215</v>
      </c>
      <c r="B216" t="s">
        <v>356</v>
      </c>
      <c r="C216">
        <v>58935.209134999997</v>
      </c>
      <c r="D216">
        <v>6.720917</v>
      </c>
      <c r="E216" s="3" t="s">
        <v>125</v>
      </c>
      <c r="F216" s="3" t="s">
        <v>106</v>
      </c>
      <c r="G216">
        <v>-2.1544639999999999</v>
      </c>
      <c r="H216">
        <v>276.89776599999999</v>
      </c>
      <c r="I216">
        <v>13.522207999999999</v>
      </c>
      <c r="J216">
        <v>276.74612400000001</v>
      </c>
      <c r="K216">
        <v>13.196564</v>
      </c>
      <c r="L216">
        <v>278.17330900000002</v>
      </c>
      <c r="M216">
        <v>36.442028000000001</v>
      </c>
      <c r="N216">
        <v>61.822074999999998</v>
      </c>
      <c r="O216">
        <v>61.822074999999998</v>
      </c>
      <c r="P216">
        <v>60.716560000000001</v>
      </c>
      <c r="Q216">
        <v>40.790291000000003</v>
      </c>
      <c r="R216">
        <v>7.7751570000000001</v>
      </c>
      <c r="S216">
        <v>0.99600100000000003</v>
      </c>
      <c r="T216">
        <v>0.87190000000000001</v>
      </c>
      <c r="U216">
        <v>21.688949999999998</v>
      </c>
      <c r="V216">
        <v>174.78576699999999</v>
      </c>
      <c r="W216">
        <v>6.7207400000000002</v>
      </c>
      <c r="X216">
        <v>117.74894</v>
      </c>
      <c r="Y216" t="s">
        <v>114</v>
      </c>
      <c r="Z216">
        <v>-1</v>
      </c>
      <c r="AA216">
        <v>-1</v>
      </c>
      <c r="AB216">
        <v>-1.7</v>
      </c>
      <c r="AC216">
        <v>6.6996729999999998</v>
      </c>
      <c r="AD216">
        <v>0.24</v>
      </c>
      <c r="AE216">
        <v>27.754999000000002</v>
      </c>
      <c r="AF216">
        <v>0</v>
      </c>
      <c r="AG216">
        <v>17.556170000000002</v>
      </c>
      <c r="AH216">
        <v>37.562908</v>
      </c>
      <c r="AI216">
        <v>290.733093</v>
      </c>
      <c r="AJ216">
        <v>-16.896277999999999</v>
      </c>
      <c r="AK216">
        <v>197.59667999999999</v>
      </c>
      <c r="AL216">
        <v>52.437083999999999</v>
      </c>
      <c r="AM216">
        <v>295.676605</v>
      </c>
      <c r="AN216">
        <v>53.522517999999998</v>
      </c>
      <c r="AO216">
        <v>-2.2800829999999999</v>
      </c>
      <c r="AP216">
        <v>52.153728000000001</v>
      </c>
      <c r="AQ216">
        <v>100.960587</v>
      </c>
      <c r="AR216">
        <v>125.05658699999999</v>
      </c>
      <c r="AS216">
        <v>72.81926</v>
      </c>
      <c r="AT216">
        <v>16.205338000000001</v>
      </c>
      <c r="AU216">
        <v>186.68937700000001</v>
      </c>
      <c r="AV216">
        <v>51.934947999999999</v>
      </c>
      <c r="AW216">
        <v>-2.3471630000000001</v>
      </c>
      <c r="AX216">
        <v>52.230091000000002</v>
      </c>
      <c r="AY216">
        <v>89.848975999999993</v>
      </c>
      <c r="AZ216">
        <v>121.50354799999999</v>
      </c>
      <c r="BA216">
        <v>79.518935999999997</v>
      </c>
      <c r="BB216">
        <v>16.692882999999998</v>
      </c>
      <c r="BC216">
        <v>14.837297</v>
      </c>
      <c r="BD216">
        <v>151.433044</v>
      </c>
      <c r="BE216">
        <v>48.480784999999997</v>
      </c>
      <c r="BF216">
        <v>49.012379000000003</v>
      </c>
      <c r="BG216">
        <v>48.743031000000002</v>
      </c>
      <c r="BH216">
        <v>13</v>
      </c>
      <c r="BI216">
        <v>13</v>
      </c>
      <c r="BJ216">
        <v>0</v>
      </c>
      <c r="BK216">
        <v>2</v>
      </c>
      <c r="BL216">
        <v>7.5850000000000001E-2</v>
      </c>
      <c r="BM216">
        <v>1.073E-2</v>
      </c>
      <c r="BN216">
        <v>-1</v>
      </c>
      <c r="BO216">
        <v>3</v>
      </c>
      <c r="BP216">
        <v>1</v>
      </c>
      <c r="BQ216">
        <v>0.39999800000000002</v>
      </c>
      <c r="BR216">
        <v>105.113434</v>
      </c>
      <c r="BS216">
        <v>16.984646000000001</v>
      </c>
      <c r="BT216">
        <v>1.5770000000000001E-3</v>
      </c>
      <c r="BU216">
        <v>56.124599000000003</v>
      </c>
      <c r="BV216">
        <v>2.0014620000000001</v>
      </c>
      <c r="BW216">
        <v>0.35750799999999999</v>
      </c>
      <c r="BX216">
        <v>3.202814</v>
      </c>
      <c r="BY216">
        <v>11.150249000000001</v>
      </c>
      <c r="BZ216">
        <v>0.68944700000000003</v>
      </c>
      <c r="CA216">
        <v>2020</v>
      </c>
      <c r="CB216">
        <v>3</v>
      </c>
      <c r="CC216">
        <v>27</v>
      </c>
      <c r="CD216">
        <v>5</v>
      </c>
      <c r="CE216">
        <v>1</v>
      </c>
      <c r="CF216">
        <v>9.2300039999999992</v>
      </c>
      <c r="CG216">
        <v>2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0.12861500000000001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</row>
    <row r="217" spans="1:105" x14ac:dyDescent="0.25">
      <c r="A217">
        <v>216</v>
      </c>
      <c r="B217" t="s">
        <v>357</v>
      </c>
      <c r="C217">
        <v>58936.944506</v>
      </c>
      <c r="D217">
        <v>8.4379019999999993</v>
      </c>
      <c r="E217" s="3" t="s">
        <v>154</v>
      </c>
      <c r="F217" s="3" t="s">
        <v>191</v>
      </c>
      <c r="G217">
        <v>-1.4551E-2</v>
      </c>
      <c r="H217">
        <v>123.989136</v>
      </c>
      <c r="I217">
        <v>-16.203261999999999</v>
      </c>
      <c r="J217">
        <v>118.47266399999999</v>
      </c>
      <c r="K217">
        <v>-24.568345999999998</v>
      </c>
      <c r="L217">
        <v>127.34938</v>
      </c>
      <c r="M217">
        <v>-44.382930999999999</v>
      </c>
      <c r="N217">
        <v>18.671728000000002</v>
      </c>
      <c r="O217">
        <v>18.671728000000002</v>
      </c>
      <c r="P217">
        <v>15.190306</v>
      </c>
      <c r="Q217">
        <v>41.025387000000002</v>
      </c>
      <c r="R217">
        <v>9.4385460000000005</v>
      </c>
      <c r="S217">
        <v>0.98419500000000004</v>
      </c>
      <c r="T217">
        <v>0.89572600000000002</v>
      </c>
      <c r="U217">
        <v>29.008973999999998</v>
      </c>
      <c r="V217">
        <v>14.103522</v>
      </c>
      <c r="W217">
        <v>188.43682899999999</v>
      </c>
      <c r="X217">
        <v>15.112861000000001</v>
      </c>
      <c r="Y217" t="s">
        <v>114</v>
      </c>
      <c r="Z217">
        <v>-1</v>
      </c>
      <c r="AA217">
        <v>-1</v>
      </c>
      <c r="AB217">
        <v>1.1000000000000001</v>
      </c>
      <c r="AC217">
        <v>2.2253630000000002</v>
      </c>
      <c r="AD217">
        <v>0.38</v>
      </c>
      <c r="AE217">
        <v>5.7640000000000002</v>
      </c>
      <c r="AF217">
        <v>0</v>
      </c>
      <c r="AG217">
        <v>102.22657</v>
      </c>
      <c r="AH217">
        <v>72.625686999999999</v>
      </c>
      <c r="AI217">
        <v>235.226517</v>
      </c>
      <c r="AJ217">
        <v>25.617611</v>
      </c>
      <c r="AK217">
        <v>188.29536400000001</v>
      </c>
      <c r="AL217">
        <v>-1.2288760000000001</v>
      </c>
      <c r="AM217">
        <v>152.11592099999999</v>
      </c>
      <c r="AN217">
        <v>34.250354999999999</v>
      </c>
      <c r="AO217">
        <v>359.86288500000001</v>
      </c>
      <c r="AP217">
        <v>49.847607000000004</v>
      </c>
      <c r="AQ217">
        <v>96.928100999999998</v>
      </c>
      <c r="AR217">
        <v>168.50990300000001</v>
      </c>
      <c r="AS217">
        <v>65.024681000000001</v>
      </c>
      <c r="AT217">
        <v>2.581623</v>
      </c>
      <c r="AU217">
        <v>190.41973899999999</v>
      </c>
      <c r="AV217">
        <v>-0.56522499999999998</v>
      </c>
      <c r="AW217">
        <v>359.92623900000001</v>
      </c>
      <c r="AX217">
        <v>49.892749999999999</v>
      </c>
      <c r="AY217">
        <v>95.216003000000001</v>
      </c>
      <c r="AZ217">
        <v>165.639038</v>
      </c>
      <c r="BA217">
        <v>67.250038000000004</v>
      </c>
      <c r="BB217">
        <v>2.6263990000000002</v>
      </c>
      <c r="BC217">
        <v>7.0952570000000001</v>
      </c>
      <c r="BD217">
        <v>221.92013499999999</v>
      </c>
      <c r="BE217">
        <v>14.035583000000001</v>
      </c>
      <c r="BF217">
        <v>13.589952</v>
      </c>
      <c r="BG217">
        <v>3.8016740000000002</v>
      </c>
      <c r="BH217">
        <v>20</v>
      </c>
      <c r="BI217">
        <v>9</v>
      </c>
      <c r="BJ217">
        <v>55</v>
      </c>
      <c r="BK217">
        <v>48</v>
      </c>
      <c r="BL217">
        <v>1.8110000000000001E-2</v>
      </c>
      <c r="BM217">
        <v>6.5599999999999999E-3</v>
      </c>
      <c r="BN217">
        <v>-1</v>
      </c>
      <c r="BO217">
        <v>3</v>
      </c>
      <c r="BP217">
        <v>1</v>
      </c>
      <c r="BQ217">
        <v>4.3200029999999998</v>
      </c>
      <c r="BR217">
        <v>53.911568000000003</v>
      </c>
      <c r="BS217">
        <v>2.8481429999999999</v>
      </c>
      <c r="BT217">
        <v>1.6098000000000001E-2</v>
      </c>
      <c r="BU217">
        <v>32.550308000000001</v>
      </c>
      <c r="BV217">
        <v>6.1188779999999996</v>
      </c>
      <c r="BW217">
        <v>9.8307559999999992</v>
      </c>
      <c r="BX217">
        <v>11.906235000000001</v>
      </c>
      <c r="BY217">
        <v>259.82952899999998</v>
      </c>
      <c r="BZ217">
        <v>7.4464000000000002E-2</v>
      </c>
      <c r="CA217">
        <v>2020</v>
      </c>
      <c r="CB217">
        <v>3</v>
      </c>
      <c r="CC217">
        <v>28</v>
      </c>
      <c r="CD217">
        <v>22</v>
      </c>
      <c r="CE217">
        <v>40</v>
      </c>
      <c r="CF217">
        <v>5.2999960000000002</v>
      </c>
      <c r="CG217">
        <v>2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0.105949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</row>
    <row r="218" spans="1:105" x14ac:dyDescent="0.25">
      <c r="A218">
        <v>217</v>
      </c>
      <c r="B218" t="s">
        <v>358</v>
      </c>
      <c r="C218">
        <v>58936.971126999997</v>
      </c>
      <c r="D218">
        <v>8.4642280000000003</v>
      </c>
      <c r="E218" s="3" t="s">
        <v>106</v>
      </c>
      <c r="F218" s="3" t="s">
        <v>191</v>
      </c>
      <c r="G218">
        <v>0.42149999999999999</v>
      </c>
      <c r="H218">
        <v>127.43673699999999</v>
      </c>
      <c r="I218">
        <v>74.945899999999995</v>
      </c>
      <c r="J218">
        <v>102.946838</v>
      </c>
      <c r="K218">
        <v>75.137375000000006</v>
      </c>
      <c r="L218">
        <v>95.348984000000002</v>
      </c>
      <c r="M218">
        <v>51.941124000000002</v>
      </c>
      <c r="N218">
        <v>15.360533999999999</v>
      </c>
      <c r="O218">
        <v>15.360533999999999</v>
      </c>
      <c r="P218">
        <v>10.620208999999999</v>
      </c>
      <c r="Q218">
        <v>37.331584999999997</v>
      </c>
      <c r="R218">
        <v>2.3137750000000001</v>
      </c>
      <c r="S218">
        <v>0.99771699999999996</v>
      </c>
      <c r="T218">
        <v>0.56879199999999996</v>
      </c>
      <c r="U218">
        <v>3.520921</v>
      </c>
      <c r="V218">
        <v>176.42304999999999</v>
      </c>
      <c r="W218">
        <v>8.4654819999999997</v>
      </c>
      <c r="X218">
        <v>12.948669000000001</v>
      </c>
      <c r="Y218" t="s">
        <v>114</v>
      </c>
      <c r="Z218">
        <v>-1</v>
      </c>
      <c r="AA218">
        <v>-1</v>
      </c>
      <c r="AB218">
        <v>0.2</v>
      </c>
      <c r="AC218">
        <v>6.3740040000000002</v>
      </c>
      <c r="AD218">
        <v>1.3</v>
      </c>
      <c r="AE218">
        <v>5.0709999999999997</v>
      </c>
      <c r="AF218">
        <v>0</v>
      </c>
      <c r="AG218">
        <v>43.087856000000002</v>
      </c>
      <c r="AH218">
        <v>-1.5171159999999999</v>
      </c>
      <c r="AI218">
        <v>105.701874</v>
      </c>
      <c r="AJ218">
        <v>13.579032</v>
      </c>
      <c r="AK218">
        <v>131.40239</v>
      </c>
      <c r="AL218">
        <v>47.998451000000003</v>
      </c>
      <c r="AM218">
        <v>281.16427599999997</v>
      </c>
      <c r="AN218">
        <v>61.863650999999997</v>
      </c>
      <c r="AO218">
        <v>358.33349600000003</v>
      </c>
      <c r="AP218">
        <v>51.022469000000001</v>
      </c>
      <c r="AQ218">
        <v>87.422218000000001</v>
      </c>
      <c r="AR218">
        <v>98.946265999999994</v>
      </c>
      <c r="AS218">
        <v>27.000012999999999</v>
      </c>
      <c r="AT218">
        <v>26.723064000000001</v>
      </c>
      <c r="AU218">
        <v>131.73909</v>
      </c>
      <c r="AV218">
        <v>41.628906000000001</v>
      </c>
      <c r="AW218">
        <v>358.38717700000001</v>
      </c>
      <c r="AX218">
        <v>50.938408000000003</v>
      </c>
      <c r="AY218">
        <v>70.228713999999997</v>
      </c>
      <c r="AZ218">
        <v>81.658812999999995</v>
      </c>
      <c r="BA218">
        <v>33.374015999999997</v>
      </c>
      <c r="BB218">
        <v>33.016266000000002</v>
      </c>
      <c r="BC218">
        <v>19.968692999999998</v>
      </c>
      <c r="BD218">
        <v>337.91366599999998</v>
      </c>
      <c r="BE218">
        <v>59.646759000000003</v>
      </c>
      <c r="BF218">
        <v>59.415855000000001</v>
      </c>
      <c r="BG218">
        <v>53.223961000000003</v>
      </c>
      <c r="BH218">
        <v>66</v>
      </c>
      <c r="BI218">
        <v>52</v>
      </c>
      <c r="BJ218">
        <v>21.212122000000001</v>
      </c>
      <c r="BK218">
        <v>66</v>
      </c>
      <c r="BL218">
        <v>3.2730000000000002E-2</v>
      </c>
      <c r="BM218">
        <v>1.426E-2</v>
      </c>
      <c r="BN218">
        <v>-1</v>
      </c>
      <c r="BO218">
        <v>3</v>
      </c>
      <c r="BP218">
        <v>1</v>
      </c>
      <c r="BQ218">
        <v>3.0799970000000001</v>
      </c>
      <c r="BR218">
        <v>53.911568000000003</v>
      </c>
      <c r="BS218">
        <v>82.096808999999993</v>
      </c>
      <c r="BT218">
        <v>1.2503999999999999E-2</v>
      </c>
      <c r="BU218">
        <v>78.029335000000003</v>
      </c>
      <c r="BV218">
        <v>9.2308649999999997</v>
      </c>
      <c r="BW218">
        <v>6.2791819999999996</v>
      </c>
      <c r="BX218">
        <v>0.18229500000000001</v>
      </c>
      <c r="BY218">
        <v>0.33456200000000003</v>
      </c>
      <c r="BZ218">
        <v>0.94401500000000005</v>
      </c>
      <c r="CA218">
        <v>2020</v>
      </c>
      <c r="CB218">
        <v>3</v>
      </c>
      <c r="CC218">
        <v>28</v>
      </c>
      <c r="CD218">
        <v>23</v>
      </c>
      <c r="CE218">
        <v>18</v>
      </c>
      <c r="CF218">
        <v>25.41</v>
      </c>
      <c r="CG218">
        <v>2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0.43219400000000002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</row>
    <row r="219" spans="1:105" x14ac:dyDescent="0.25">
      <c r="A219">
        <v>218</v>
      </c>
      <c r="B219" t="s">
        <v>359</v>
      </c>
      <c r="C219">
        <v>58939.174386999999</v>
      </c>
      <c r="D219">
        <v>10.641386000000001</v>
      </c>
      <c r="E219" s="3" t="s">
        <v>125</v>
      </c>
      <c r="F219" s="3" t="s">
        <v>106</v>
      </c>
      <c r="G219">
        <v>-1.647454</v>
      </c>
      <c r="H219">
        <v>279.545593</v>
      </c>
      <c r="I219">
        <v>-2.9597180000000001</v>
      </c>
      <c r="J219">
        <v>279.496735</v>
      </c>
      <c r="K219">
        <v>-3.4347819999999998</v>
      </c>
      <c r="L219">
        <v>280.07293700000002</v>
      </c>
      <c r="M219">
        <v>19.670445999999998</v>
      </c>
      <c r="N219">
        <v>65.226837000000003</v>
      </c>
      <c r="O219">
        <v>65.226837000000003</v>
      </c>
      <c r="P219">
        <v>64.120673999999994</v>
      </c>
      <c r="Q219">
        <v>37.417636999999999</v>
      </c>
      <c r="R219">
        <v>2.3601679999999998</v>
      </c>
      <c r="S219">
        <v>0.999031</v>
      </c>
      <c r="T219">
        <v>0.576712</v>
      </c>
      <c r="U219">
        <v>3.6273469999999999</v>
      </c>
      <c r="V219">
        <v>180.466049</v>
      </c>
      <c r="W219">
        <v>10.641086</v>
      </c>
      <c r="X219">
        <v>144.76980599999999</v>
      </c>
      <c r="Y219" t="s">
        <v>114</v>
      </c>
      <c r="Z219">
        <v>-1</v>
      </c>
      <c r="AA219">
        <v>-1</v>
      </c>
      <c r="AB219">
        <v>-1.4</v>
      </c>
      <c r="AC219">
        <v>15.384347999999999</v>
      </c>
      <c r="AD219">
        <v>0.46</v>
      </c>
      <c r="AE219">
        <v>33.191001999999997</v>
      </c>
      <c r="AF219">
        <v>0</v>
      </c>
      <c r="AG219">
        <v>8.3560280000000002</v>
      </c>
      <c r="AH219">
        <v>21.876802000000001</v>
      </c>
      <c r="AI219">
        <v>296.664063</v>
      </c>
      <c r="AJ219">
        <v>-20.251035999999999</v>
      </c>
      <c r="AK219">
        <v>217.380798</v>
      </c>
      <c r="AL219">
        <v>65.335517999999993</v>
      </c>
      <c r="AM219">
        <v>321.299713</v>
      </c>
      <c r="AN219">
        <v>68.624556999999996</v>
      </c>
      <c r="AO219">
        <v>-1.6843360000000001</v>
      </c>
      <c r="AP219">
        <v>52.153106999999999</v>
      </c>
      <c r="AQ219">
        <v>104.706642</v>
      </c>
      <c r="AR219">
        <v>112.28164700000001</v>
      </c>
      <c r="AS219">
        <v>81.508156</v>
      </c>
      <c r="AT219">
        <v>14.559289</v>
      </c>
      <c r="AU219">
        <v>178.50285299999999</v>
      </c>
      <c r="AV219">
        <v>67.827208999999996</v>
      </c>
      <c r="AW219">
        <v>-1.8974869999999999</v>
      </c>
      <c r="AX219">
        <v>52.343502000000001</v>
      </c>
      <c r="AY219">
        <v>89.972115000000002</v>
      </c>
      <c r="AZ219">
        <v>111.859077</v>
      </c>
      <c r="BA219">
        <v>96.892501999999993</v>
      </c>
      <c r="BB219">
        <v>14.615512000000001</v>
      </c>
      <c r="BC219">
        <v>30.004345000000001</v>
      </c>
      <c r="BD219">
        <v>145.35635400000001</v>
      </c>
      <c r="BE219">
        <v>29.450060000000001</v>
      </c>
      <c r="BF219">
        <v>29.814276</v>
      </c>
      <c r="BG219">
        <v>29.385424</v>
      </c>
      <c r="BH219">
        <v>24</v>
      </c>
      <c r="BI219">
        <v>24</v>
      </c>
      <c r="BJ219">
        <v>0</v>
      </c>
      <c r="BK219">
        <v>9</v>
      </c>
      <c r="BL219">
        <v>0.23916999999999999</v>
      </c>
      <c r="BM219">
        <v>2.6460000000000001E-2</v>
      </c>
      <c r="BN219">
        <v>-1</v>
      </c>
      <c r="BO219">
        <v>3</v>
      </c>
      <c r="BP219">
        <v>1</v>
      </c>
      <c r="BQ219">
        <v>0.36000599999999999</v>
      </c>
      <c r="BR219">
        <v>105.113434</v>
      </c>
      <c r="BS219">
        <v>14.724303000000001</v>
      </c>
      <c r="BT219">
        <v>1.4319999999999999E-3</v>
      </c>
      <c r="BU219">
        <v>54.975464000000002</v>
      </c>
      <c r="BV219">
        <v>1.438191</v>
      </c>
      <c r="BW219">
        <v>0.47756100000000001</v>
      </c>
      <c r="BX219">
        <v>6.0603119999999997</v>
      </c>
      <c r="BY219">
        <v>24.017281000000001</v>
      </c>
      <c r="BZ219">
        <v>0.60402400000000001</v>
      </c>
      <c r="CA219">
        <v>2020</v>
      </c>
      <c r="CB219">
        <v>3</v>
      </c>
      <c r="CC219">
        <v>31</v>
      </c>
      <c r="CD219">
        <v>4</v>
      </c>
      <c r="CE219">
        <v>11</v>
      </c>
      <c r="CF219">
        <v>7.0099980000000004</v>
      </c>
      <c r="CG219">
        <v>2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0.42369899999999999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</row>
  </sheetData>
  <autoFilter ref="A1:DA21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8"/>
  <sheetViews>
    <sheetView workbookViewId="0">
      <selection activeCell="B16" sqref="B16"/>
    </sheetView>
  </sheetViews>
  <sheetFormatPr defaultRowHeight="15" x14ac:dyDescent="0.25"/>
  <cols>
    <col min="1" max="1" width="4" bestFit="1" customWidth="1"/>
    <col min="2" max="2" width="16" style="3" bestFit="1" customWidth="1"/>
    <col min="3" max="3" width="15.5703125" style="3" bestFit="1" customWidth="1"/>
    <col min="4" max="4" width="16.140625" bestFit="1" customWidth="1"/>
    <col min="5" max="6" width="6" bestFit="1" customWidth="1"/>
    <col min="7" max="8" width="11" bestFit="1" customWidth="1"/>
    <col min="9" max="9" width="10" bestFit="1" customWidth="1"/>
    <col min="10" max="10" width="10.7109375" bestFit="1" customWidth="1"/>
  </cols>
  <sheetData>
    <row r="1" spans="1:10" x14ac:dyDescent="0.25">
      <c r="A1" t="s">
        <v>360</v>
      </c>
      <c r="B1" s="3" t="s">
        <v>361</v>
      </c>
      <c r="C1" s="3" t="s">
        <v>362</v>
      </c>
      <c r="D1" t="s">
        <v>363</v>
      </c>
      <c r="E1" t="s">
        <v>364</v>
      </c>
      <c r="F1" t="s">
        <v>365</v>
      </c>
      <c r="G1" t="s">
        <v>366</v>
      </c>
      <c r="H1" t="s">
        <v>367</v>
      </c>
      <c r="I1" s="1">
        <v>37226</v>
      </c>
      <c r="J1" s="1">
        <v>37591</v>
      </c>
    </row>
    <row r="2" spans="1:10" x14ac:dyDescent="0.25">
      <c r="A2">
        <v>1</v>
      </c>
      <c r="B2" s="2" t="s">
        <v>368</v>
      </c>
      <c r="C2" s="2" t="s">
        <v>369</v>
      </c>
      <c r="D2" t="s">
        <v>370</v>
      </c>
      <c r="E2">
        <v>159.9</v>
      </c>
      <c r="F2">
        <v>242.9</v>
      </c>
      <c r="G2">
        <v>302.72778299999999</v>
      </c>
      <c r="H2">
        <v>84.103386</v>
      </c>
      <c r="I2">
        <v>76.711166000000006</v>
      </c>
      <c r="J2">
        <v>39.371456000000002</v>
      </c>
    </row>
    <row r="3" spans="1:10" x14ac:dyDescent="0.25">
      <c r="A3">
        <v>2</v>
      </c>
      <c r="B3" s="2" t="s">
        <v>371</v>
      </c>
      <c r="C3" s="2" t="s">
        <v>372</v>
      </c>
      <c r="D3" t="s">
        <v>373</v>
      </c>
      <c r="E3">
        <v>251.8</v>
      </c>
      <c r="F3">
        <v>198.9</v>
      </c>
      <c r="G3">
        <v>74.917075999999994</v>
      </c>
      <c r="H3">
        <v>147.74400299999999</v>
      </c>
      <c r="I3">
        <v>45.931049000000002</v>
      </c>
      <c r="J3">
        <v>66.301743000000002</v>
      </c>
    </row>
    <row r="4" spans="1:10" x14ac:dyDescent="0.25">
      <c r="A4">
        <v>3</v>
      </c>
      <c r="B4" s="2" t="s">
        <v>369</v>
      </c>
      <c r="C4" s="2" t="s">
        <v>374</v>
      </c>
      <c r="D4" t="s">
        <v>375</v>
      </c>
      <c r="E4">
        <v>163.30000000000001</v>
      </c>
      <c r="F4">
        <v>150.5</v>
      </c>
      <c r="G4">
        <v>295.46215799999999</v>
      </c>
      <c r="H4">
        <v>321.40481599999998</v>
      </c>
      <c r="I4">
        <v>71.304192</v>
      </c>
      <c r="J4">
        <v>66.328247000000005</v>
      </c>
    </row>
    <row r="5" spans="1:10" x14ac:dyDescent="0.25">
      <c r="A5">
        <v>4</v>
      </c>
      <c r="B5" s="2" t="s">
        <v>368</v>
      </c>
      <c r="C5" s="2" t="s">
        <v>369</v>
      </c>
      <c r="D5" t="s">
        <v>376</v>
      </c>
      <c r="E5">
        <v>84</v>
      </c>
      <c r="F5">
        <v>263.60000000000002</v>
      </c>
      <c r="G5">
        <v>34.591118000000002</v>
      </c>
      <c r="H5">
        <v>135.51440400000001</v>
      </c>
      <c r="I5">
        <v>34.740569999999998</v>
      </c>
      <c r="J5">
        <v>40.358443999999999</v>
      </c>
    </row>
    <row r="6" spans="1:10" x14ac:dyDescent="0.25">
      <c r="A6">
        <v>5</v>
      </c>
      <c r="B6" s="2" t="s">
        <v>369</v>
      </c>
      <c r="C6" s="2" t="s">
        <v>368</v>
      </c>
      <c r="D6" t="s">
        <v>377</v>
      </c>
      <c r="E6">
        <v>249.9</v>
      </c>
      <c r="F6">
        <v>89.2</v>
      </c>
      <c r="G6">
        <v>148.09375</v>
      </c>
      <c r="H6">
        <v>24.437683</v>
      </c>
      <c r="I6">
        <v>46.525188</v>
      </c>
      <c r="J6">
        <v>29.430885</v>
      </c>
    </row>
    <row r="7" spans="1:10" x14ac:dyDescent="0.25">
      <c r="A7">
        <v>6</v>
      </c>
      <c r="B7" s="3" t="s">
        <v>369</v>
      </c>
      <c r="C7" s="3" t="s">
        <v>368</v>
      </c>
      <c r="D7" t="s">
        <v>378</v>
      </c>
      <c r="E7">
        <v>192.1</v>
      </c>
      <c r="F7">
        <v>131.5</v>
      </c>
      <c r="G7">
        <v>248.83876000000001</v>
      </c>
      <c r="H7">
        <v>4.9591999999999997E-2</v>
      </c>
      <c r="I7">
        <v>70.704514000000003</v>
      </c>
      <c r="J7">
        <v>47.679564999999997</v>
      </c>
    </row>
    <row r="8" spans="1:10" x14ac:dyDescent="0.25">
      <c r="A8">
        <v>7</v>
      </c>
      <c r="B8" s="2" t="s">
        <v>368</v>
      </c>
      <c r="C8" s="2" t="s">
        <v>374</v>
      </c>
      <c r="D8" t="s">
        <v>379</v>
      </c>
      <c r="E8">
        <v>131.5</v>
      </c>
      <c r="F8">
        <v>184.5</v>
      </c>
      <c r="G8">
        <v>4.9591999999999997E-2</v>
      </c>
      <c r="H8">
        <v>264.34500100000002</v>
      </c>
      <c r="I8">
        <v>47.679564999999997</v>
      </c>
      <c r="J8">
        <v>78.004929000000004</v>
      </c>
    </row>
    <row r="9" spans="1:10" x14ac:dyDescent="0.25">
      <c r="A9">
        <v>8</v>
      </c>
      <c r="B9" s="2" t="s">
        <v>369</v>
      </c>
      <c r="C9" s="2" t="s">
        <v>368</v>
      </c>
      <c r="D9" t="s">
        <v>380</v>
      </c>
      <c r="E9">
        <v>189.7</v>
      </c>
      <c r="F9">
        <v>146.1</v>
      </c>
      <c r="G9">
        <v>268.38452100000001</v>
      </c>
      <c r="H9">
        <v>346.176849</v>
      </c>
      <c r="I9">
        <v>62.458744000000003</v>
      </c>
      <c r="J9">
        <v>52.009417999999997</v>
      </c>
    </row>
    <row r="10" spans="1:10" x14ac:dyDescent="0.25">
      <c r="A10">
        <v>9</v>
      </c>
      <c r="B10" s="2" t="s">
        <v>374</v>
      </c>
      <c r="C10" s="2" t="s">
        <v>368</v>
      </c>
      <c r="D10" t="s">
        <v>381</v>
      </c>
      <c r="E10">
        <v>201.5</v>
      </c>
      <c r="F10">
        <v>115</v>
      </c>
      <c r="G10">
        <v>157.79643200000001</v>
      </c>
      <c r="H10">
        <v>32.808661999999998</v>
      </c>
      <c r="I10">
        <v>75.340141000000003</v>
      </c>
      <c r="J10">
        <v>43.377544</v>
      </c>
    </row>
    <row r="11" spans="1:10" x14ac:dyDescent="0.25">
      <c r="A11">
        <v>10</v>
      </c>
      <c r="B11" s="2" t="s">
        <v>374</v>
      </c>
      <c r="C11" s="2" t="s">
        <v>369</v>
      </c>
      <c r="D11" t="s">
        <v>382</v>
      </c>
      <c r="E11">
        <v>199.6</v>
      </c>
      <c r="F11">
        <v>207.3</v>
      </c>
      <c r="G11">
        <v>215.615433</v>
      </c>
      <c r="H11">
        <v>255.48249799999999</v>
      </c>
      <c r="I11">
        <v>76.472076000000001</v>
      </c>
      <c r="J11">
        <v>72.109627000000003</v>
      </c>
    </row>
    <row r="12" spans="1:10" x14ac:dyDescent="0.25">
      <c r="A12">
        <v>11</v>
      </c>
      <c r="B12" s="2" t="s">
        <v>383</v>
      </c>
      <c r="C12" s="2" t="s">
        <v>369</v>
      </c>
      <c r="D12" t="s">
        <v>384</v>
      </c>
      <c r="E12">
        <v>13.6</v>
      </c>
      <c r="F12">
        <v>223.5</v>
      </c>
      <c r="G12">
        <v>168.11193800000001</v>
      </c>
      <c r="H12">
        <v>284.66195699999997</v>
      </c>
      <c r="I12">
        <v>0.58485799999999999</v>
      </c>
      <c r="J12">
        <v>50.561954</v>
      </c>
    </row>
    <row r="13" spans="1:10" x14ac:dyDescent="0.25">
      <c r="A13">
        <v>12</v>
      </c>
      <c r="B13" s="2" t="s">
        <v>369</v>
      </c>
      <c r="C13" s="2" t="s">
        <v>368</v>
      </c>
      <c r="D13" t="s">
        <v>385</v>
      </c>
      <c r="E13">
        <v>193.2</v>
      </c>
      <c r="F13">
        <v>139</v>
      </c>
      <c r="G13">
        <v>350.64584400000001</v>
      </c>
      <c r="H13">
        <v>87.262137999999993</v>
      </c>
      <c r="I13">
        <v>63.829006</v>
      </c>
      <c r="J13">
        <v>50.090328</v>
      </c>
    </row>
    <row r="14" spans="1:10" x14ac:dyDescent="0.25">
      <c r="A14">
        <v>13</v>
      </c>
      <c r="B14" s="3" t="s">
        <v>368</v>
      </c>
      <c r="C14" s="3" t="s">
        <v>374</v>
      </c>
      <c r="D14" t="s">
        <v>386</v>
      </c>
      <c r="E14">
        <v>94.1</v>
      </c>
      <c r="F14">
        <v>180.8</v>
      </c>
      <c r="G14">
        <v>163.348343</v>
      </c>
      <c r="H14">
        <v>24.454502000000002</v>
      </c>
      <c r="I14">
        <v>43.850948000000002</v>
      </c>
      <c r="J14">
        <v>63.762661000000001</v>
      </c>
    </row>
    <row r="15" spans="1:10" x14ac:dyDescent="0.25">
      <c r="A15">
        <v>14</v>
      </c>
      <c r="B15" s="2" t="s">
        <v>383</v>
      </c>
      <c r="C15" s="2" t="s">
        <v>387</v>
      </c>
      <c r="D15" t="s">
        <v>388</v>
      </c>
      <c r="E15">
        <v>67.099999999999994</v>
      </c>
      <c r="F15">
        <v>108</v>
      </c>
      <c r="G15">
        <v>19.381262</v>
      </c>
      <c r="H15">
        <v>352.12994400000002</v>
      </c>
      <c r="I15">
        <v>11.341303999999999</v>
      </c>
      <c r="J15">
        <v>35.222583999999998</v>
      </c>
    </row>
    <row r="16" spans="1:10" x14ac:dyDescent="0.25">
      <c r="A16">
        <v>15</v>
      </c>
      <c r="B16" s="2" t="s">
        <v>389</v>
      </c>
      <c r="C16" s="2" t="s">
        <v>368</v>
      </c>
      <c r="D16" t="s">
        <v>390</v>
      </c>
      <c r="E16">
        <v>48.1</v>
      </c>
      <c r="F16">
        <v>108.2</v>
      </c>
      <c r="G16">
        <v>114.565842</v>
      </c>
      <c r="H16">
        <v>69.580460000000002</v>
      </c>
      <c r="I16">
        <v>-4.1131900000000003</v>
      </c>
      <c r="J16">
        <v>28.661158</v>
      </c>
    </row>
    <row r="17" spans="1:10" x14ac:dyDescent="0.25">
      <c r="A17">
        <v>16</v>
      </c>
      <c r="B17" s="2" t="s">
        <v>387</v>
      </c>
      <c r="C17" s="2" t="s">
        <v>368</v>
      </c>
      <c r="D17" t="s">
        <v>391</v>
      </c>
      <c r="E17">
        <v>144.69999999999999</v>
      </c>
      <c r="F17">
        <v>157.1</v>
      </c>
      <c r="G17">
        <v>357.68853799999999</v>
      </c>
      <c r="H17">
        <v>322.08032200000002</v>
      </c>
      <c r="I17">
        <v>62.363315999999998</v>
      </c>
      <c r="J17">
        <v>55.927902000000003</v>
      </c>
    </row>
    <row r="18" spans="1:10" x14ac:dyDescent="0.25">
      <c r="A18">
        <v>17</v>
      </c>
      <c r="B18" s="3" t="s">
        <v>372</v>
      </c>
      <c r="C18" s="3" t="s">
        <v>371</v>
      </c>
      <c r="D18" t="s">
        <v>392</v>
      </c>
      <c r="E18">
        <v>188.2</v>
      </c>
      <c r="F18">
        <v>223.9</v>
      </c>
      <c r="G18">
        <v>321.83291600000001</v>
      </c>
      <c r="H18">
        <v>216.665009</v>
      </c>
      <c r="I18">
        <v>72.332413000000003</v>
      </c>
      <c r="J18">
        <v>64.715835999999996</v>
      </c>
    </row>
    <row r="19" spans="1:10" x14ac:dyDescent="0.25">
      <c r="A19">
        <v>18</v>
      </c>
      <c r="B19" s="2" t="s">
        <v>371</v>
      </c>
      <c r="C19" s="2" t="s">
        <v>369</v>
      </c>
      <c r="D19" t="s">
        <v>392</v>
      </c>
      <c r="E19">
        <v>223.9</v>
      </c>
      <c r="F19">
        <v>223.9</v>
      </c>
      <c r="G19">
        <v>216.665009</v>
      </c>
      <c r="H19">
        <v>276.58123799999998</v>
      </c>
      <c r="I19">
        <v>64.715835999999996</v>
      </c>
      <c r="J19">
        <v>44.943531</v>
      </c>
    </row>
    <row r="20" spans="1:10" x14ac:dyDescent="0.25">
      <c r="A20">
        <v>19</v>
      </c>
      <c r="B20" s="2" t="s">
        <v>368</v>
      </c>
      <c r="C20" s="2" t="s">
        <v>383</v>
      </c>
      <c r="D20" t="s">
        <v>393</v>
      </c>
      <c r="E20">
        <v>102.4</v>
      </c>
      <c r="F20">
        <v>51.7</v>
      </c>
      <c r="G20">
        <v>87.957863000000003</v>
      </c>
      <c r="H20">
        <v>123.708595</v>
      </c>
      <c r="I20">
        <v>26.155003000000001</v>
      </c>
      <c r="J20">
        <v>-3.863127</v>
      </c>
    </row>
    <row r="21" spans="1:10" x14ac:dyDescent="0.25">
      <c r="A21">
        <v>20</v>
      </c>
      <c r="B21" s="2" t="s">
        <v>387</v>
      </c>
      <c r="C21" s="2" t="s">
        <v>383</v>
      </c>
      <c r="D21" t="s">
        <v>394</v>
      </c>
      <c r="E21">
        <v>178.8</v>
      </c>
      <c r="F21">
        <v>11.6</v>
      </c>
      <c r="G21">
        <v>22.80302</v>
      </c>
      <c r="H21">
        <v>16.304200999999999</v>
      </c>
      <c r="I21">
        <v>71.841560000000001</v>
      </c>
      <c r="J21">
        <v>9.6673489999999997</v>
      </c>
    </row>
    <row r="22" spans="1:10" x14ac:dyDescent="0.25">
      <c r="A22">
        <v>21</v>
      </c>
      <c r="B22" s="2" t="s">
        <v>371</v>
      </c>
      <c r="C22" s="2" t="s">
        <v>372</v>
      </c>
      <c r="D22" t="s">
        <v>395</v>
      </c>
      <c r="E22">
        <v>250.4</v>
      </c>
      <c r="F22">
        <v>208.9</v>
      </c>
      <c r="G22">
        <v>111.552834</v>
      </c>
      <c r="H22">
        <v>162.61604299999999</v>
      </c>
      <c r="I22">
        <v>43.355075999999997</v>
      </c>
      <c r="J22">
        <v>60.459938000000001</v>
      </c>
    </row>
    <row r="23" spans="1:10" x14ac:dyDescent="0.25">
      <c r="A23">
        <v>22</v>
      </c>
      <c r="B23" s="2" t="s">
        <v>369</v>
      </c>
      <c r="C23" s="2" t="s">
        <v>374</v>
      </c>
      <c r="D23" t="s">
        <v>396</v>
      </c>
      <c r="E23">
        <v>219.2</v>
      </c>
      <c r="F23">
        <v>214.3</v>
      </c>
      <c r="G23">
        <v>152.19480899999999</v>
      </c>
      <c r="H23">
        <v>142.85644500000001</v>
      </c>
      <c r="I23">
        <v>60.026778999999998</v>
      </c>
      <c r="J23">
        <v>66.964400999999995</v>
      </c>
    </row>
    <row r="24" spans="1:10" x14ac:dyDescent="0.25">
      <c r="A24">
        <v>23</v>
      </c>
      <c r="B24" s="3" t="s">
        <v>369</v>
      </c>
      <c r="C24" s="3" t="s">
        <v>383</v>
      </c>
      <c r="D24" t="s">
        <v>397</v>
      </c>
      <c r="E24">
        <v>172.8</v>
      </c>
      <c r="F24">
        <v>63.1</v>
      </c>
      <c r="G24">
        <v>283.15148900000003</v>
      </c>
      <c r="H24">
        <v>34.217849999999999</v>
      </c>
      <c r="I24">
        <v>69.217979</v>
      </c>
      <c r="J24">
        <v>7.1860559999999998</v>
      </c>
    </row>
    <row r="25" spans="1:10" x14ac:dyDescent="0.25">
      <c r="A25">
        <v>24</v>
      </c>
      <c r="B25" s="2" t="s">
        <v>383</v>
      </c>
      <c r="C25" s="2" t="s">
        <v>374</v>
      </c>
      <c r="D25" t="s">
        <v>397</v>
      </c>
      <c r="E25">
        <v>63.1</v>
      </c>
      <c r="F25">
        <v>163.9</v>
      </c>
      <c r="G25">
        <v>34.217849999999999</v>
      </c>
      <c r="H25">
        <v>306.79135100000002</v>
      </c>
      <c r="I25">
        <v>7.1860559999999998</v>
      </c>
      <c r="J25">
        <v>69.574127000000004</v>
      </c>
    </row>
    <row r="26" spans="1:10" x14ac:dyDescent="0.25">
      <c r="A26">
        <v>25</v>
      </c>
      <c r="B26" s="2" t="s">
        <v>374</v>
      </c>
      <c r="C26" s="2" t="s">
        <v>369</v>
      </c>
      <c r="D26" t="s">
        <v>398</v>
      </c>
      <c r="E26">
        <v>158.4</v>
      </c>
      <c r="F26">
        <v>180</v>
      </c>
      <c r="G26">
        <v>26.662604999999999</v>
      </c>
      <c r="H26">
        <v>282.31552099999999</v>
      </c>
      <c r="I26">
        <v>76.483170000000001</v>
      </c>
      <c r="J26">
        <v>83.211928999999998</v>
      </c>
    </row>
    <row r="27" spans="1:10" x14ac:dyDescent="0.25">
      <c r="A27">
        <v>26</v>
      </c>
      <c r="B27" s="2" t="s">
        <v>387</v>
      </c>
      <c r="C27" s="2" t="s">
        <v>368</v>
      </c>
      <c r="D27" t="s">
        <v>399</v>
      </c>
      <c r="E27">
        <v>103.2</v>
      </c>
      <c r="F27">
        <v>140</v>
      </c>
      <c r="G27">
        <v>139.78660600000001</v>
      </c>
      <c r="H27">
        <v>93.268371999999999</v>
      </c>
      <c r="I27">
        <v>43.249512000000003</v>
      </c>
      <c r="J27">
        <v>54.558723000000001</v>
      </c>
    </row>
    <row r="28" spans="1:10" x14ac:dyDescent="0.25">
      <c r="A28">
        <v>27</v>
      </c>
      <c r="B28" s="2" t="s">
        <v>387</v>
      </c>
      <c r="C28" s="2" t="s">
        <v>374</v>
      </c>
      <c r="D28" t="s">
        <v>400</v>
      </c>
      <c r="E28">
        <v>141.30000000000001</v>
      </c>
      <c r="F28">
        <v>194.7</v>
      </c>
      <c r="G28">
        <v>126.784676</v>
      </c>
      <c r="H28">
        <v>0.578565</v>
      </c>
      <c r="I28">
        <v>64.863297000000003</v>
      </c>
      <c r="J28">
        <v>62.332951000000001</v>
      </c>
    </row>
    <row r="29" spans="1:10" x14ac:dyDescent="0.25">
      <c r="A29">
        <v>28</v>
      </c>
      <c r="B29" s="3" t="s">
        <v>374</v>
      </c>
      <c r="C29" s="3" t="s">
        <v>369</v>
      </c>
      <c r="D29" t="s">
        <v>400</v>
      </c>
      <c r="E29">
        <v>194.7</v>
      </c>
      <c r="F29">
        <v>197.7</v>
      </c>
      <c r="G29">
        <v>0.578565</v>
      </c>
      <c r="H29">
        <v>356.34530599999999</v>
      </c>
      <c r="I29">
        <v>62.332951000000001</v>
      </c>
      <c r="J29">
        <v>59.733784</v>
      </c>
    </row>
    <row r="30" spans="1:10" x14ac:dyDescent="0.25">
      <c r="A30">
        <v>29</v>
      </c>
      <c r="B30" s="3" t="s">
        <v>369</v>
      </c>
      <c r="C30" s="3" t="s">
        <v>368</v>
      </c>
      <c r="D30" t="s">
        <v>400</v>
      </c>
      <c r="E30">
        <v>197.7</v>
      </c>
      <c r="F30">
        <v>156.9</v>
      </c>
      <c r="G30">
        <v>356.34530599999999</v>
      </c>
      <c r="H30">
        <v>74.664162000000005</v>
      </c>
      <c r="I30">
        <v>59.733784</v>
      </c>
      <c r="J30">
        <v>58.235728999999999</v>
      </c>
    </row>
    <row r="31" spans="1:10" x14ac:dyDescent="0.25">
      <c r="A31">
        <v>30</v>
      </c>
      <c r="B31" s="3" t="s">
        <v>368</v>
      </c>
      <c r="C31" s="3" t="s">
        <v>369</v>
      </c>
      <c r="D31" t="s">
        <v>401</v>
      </c>
      <c r="E31">
        <v>141</v>
      </c>
      <c r="F31">
        <v>221</v>
      </c>
      <c r="G31">
        <v>332.92193600000002</v>
      </c>
      <c r="H31">
        <v>175.298889</v>
      </c>
      <c r="I31">
        <v>61.069580000000002</v>
      </c>
      <c r="J31">
        <v>53.229098999999998</v>
      </c>
    </row>
    <row r="32" spans="1:10" x14ac:dyDescent="0.25">
      <c r="A32">
        <v>31</v>
      </c>
      <c r="B32" s="3" t="s">
        <v>369</v>
      </c>
      <c r="C32" s="3" t="s">
        <v>374</v>
      </c>
      <c r="D32" t="s">
        <v>401</v>
      </c>
      <c r="E32">
        <v>221</v>
      </c>
      <c r="F32">
        <v>220.8</v>
      </c>
      <c r="G32">
        <v>175.298889</v>
      </c>
      <c r="H32">
        <v>168.070099</v>
      </c>
      <c r="I32">
        <v>53.229098999999998</v>
      </c>
      <c r="J32">
        <v>57.578372999999999</v>
      </c>
    </row>
    <row r="33" spans="1:10" x14ac:dyDescent="0.25">
      <c r="A33">
        <v>32</v>
      </c>
      <c r="B33" s="2" t="s">
        <v>387</v>
      </c>
      <c r="C33" s="2" t="s">
        <v>368</v>
      </c>
      <c r="D33" t="s">
        <v>402</v>
      </c>
      <c r="E33">
        <v>154.9</v>
      </c>
      <c r="F33">
        <v>163.80000000000001</v>
      </c>
      <c r="G33">
        <v>74.686920000000001</v>
      </c>
      <c r="H33">
        <v>342.33520499999997</v>
      </c>
      <c r="I33">
        <v>73.824493000000004</v>
      </c>
      <c r="J33">
        <v>66.996994000000001</v>
      </c>
    </row>
    <row r="34" spans="1:10" x14ac:dyDescent="0.25">
      <c r="A34">
        <v>33</v>
      </c>
      <c r="B34" s="3" t="s">
        <v>371</v>
      </c>
      <c r="C34" s="3" t="s">
        <v>372</v>
      </c>
      <c r="D34" t="s">
        <v>403</v>
      </c>
      <c r="E34">
        <v>263.39999999999998</v>
      </c>
      <c r="F34">
        <v>214.2</v>
      </c>
      <c r="G34">
        <v>191.41197199999999</v>
      </c>
      <c r="H34">
        <v>240.25195299999999</v>
      </c>
      <c r="I34">
        <v>35.917960999999998</v>
      </c>
      <c r="J34">
        <v>59.248488999999999</v>
      </c>
    </row>
    <row r="35" spans="1:10" x14ac:dyDescent="0.25">
      <c r="A35">
        <v>34</v>
      </c>
      <c r="B35" s="3" t="s">
        <v>371</v>
      </c>
      <c r="C35" s="3" t="s">
        <v>372</v>
      </c>
      <c r="D35" t="s">
        <v>404</v>
      </c>
      <c r="E35">
        <v>270</v>
      </c>
      <c r="F35">
        <v>225.5</v>
      </c>
      <c r="G35">
        <v>191.23526000000001</v>
      </c>
      <c r="H35">
        <v>225.78095999999999</v>
      </c>
      <c r="I35">
        <v>32.636367999999997</v>
      </c>
      <c r="J35">
        <v>55.785564000000001</v>
      </c>
    </row>
    <row r="36" spans="1:10" x14ac:dyDescent="0.25">
      <c r="A36">
        <v>35</v>
      </c>
      <c r="B36" s="3" t="s">
        <v>368</v>
      </c>
      <c r="C36" s="3" t="s">
        <v>369</v>
      </c>
      <c r="D36" t="s">
        <v>405</v>
      </c>
      <c r="E36">
        <v>98.6</v>
      </c>
      <c r="F36">
        <v>177.6</v>
      </c>
      <c r="G36">
        <v>59.028931</v>
      </c>
      <c r="H36">
        <v>124.54948400000001</v>
      </c>
      <c r="I36">
        <v>30.194697999999999</v>
      </c>
      <c r="J36">
        <v>77.981026</v>
      </c>
    </row>
    <row r="37" spans="1:10" x14ac:dyDescent="0.25">
      <c r="A37">
        <v>36</v>
      </c>
      <c r="B37" s="3" t="s">
        <v>369</v>
      </c>
      <c r="C37" s="3" t="s">
        <v>383</v>
      </c>
      <c r="D37" t="s">
        <v>405</v>
      </c>
      <c r="E37">
        <v>177.6</v>
      </c>
      <c r="F37">
        <v>38.9</v>
      </c>
      <c r="G37">
        <v>124.54948400000001</v>
      </c>
      <c r="H37">
        <v>96.712517000000005</v>
      </c>
      <c r="I37">
        <v>77.981026</v>
      </c>
      <c r="J37">
        <v>-6.976572</v>
      </c>
    </row>
    <row r="38" spans="1:10" x14ac:dyDescent="0.25">
      <c r="A38">
        <v>37</v>
      </c>
      <c r="B38" s="3" t="s">
        <v>368</v>
      </c>
      <c r="C38" s="3" t="s">
        <v>369</v>
      </c>
      <c r="D38" t="s">
        <v>406</v>
      </c>
      <c r="E38">
        <v>111.2</v>
      </c>
      <c r="F38">
        <v>226.1</v>
      </c>
      <c r="G38">
        <v>73.130402000000004</v>
      </c>
      <c r="H38">
        <v>209.46942100000001</v>
      </c>
      <c r="I38">
        <v>46.965949999999999</v>
      </c>
      <c r="J38">
        <v>61.235019999999999</v>
      </c>
    </row>
    <row r="39" spans="1:10" x14ac:dyDescent="0.25">
      <c r="A39">
        <v>38</v>
      </c>
      <c r="B39" s="3" t="s">
        <v>369</v>
      </c>
      <c r="C39" s="3" t="s">
        <v>383</v>
      </c>
      <c r="D39" t="s">
        <v>406</v>
      </c>
      <c r="E39">
        <v>226.1</v>
      </c>
      <c r="F39">
        <v>25</v>
      </c>
      <c r="G39">
        <v>209.46942100000001</v>
      </c>
      <c r="H39">
        <v>116.58165700000001</v>
      </c>
      <c r="I39">
        <v>61.235019999999999</v>
      </c>
      <c r="J39">
        <v>-5.9466159999999997</v>
      </c>
    </row>
    <row r="40" spans="1:10" x14ac:dyDescent="0.25">
      <c r="A40">
        <v>39</v>
      </c>
      <c r="B40" s="3" t="s">
        <v>387</v>
      </c>
      <c r="C40" s="3" t="s">
        <v>368</v>
      </c>
      <c r="D40" t="s">
        <v>407</v>
      </c>
      <c r="E40">
        <v>132.5</v>
      </c>
      <c r="F40">
        <v>149.1</v>
      </c>
      <c r="G40">
        <v>53.488331000000002</v>
      </c>
      <c r="H40">
        <v>15.937601000000001</v>
      </c>
      <c r="I40">
        <v>56.620635999999998</v>
      </c>
      <c r="J40">
        <v>54.446658999999997</v>
      </c>
    </row>
    <row r="41" spans="1:10" x14ac:dyDescent="0.25">
      <c r="A41">
        <v>40</v>
      </c>
      <c r="B41" s="3" t="s">
        <v>371</v>
      </c>
      <c r="C41" s="3" t="s">
        <v>372</v>
      </c>
      <c r="D41" t="s">
        <v>408</v>
      </c>
      <c r="E41">
        <v>240.9</v>
      </c>
      <c r="F41">
        <v>218</v>
      </c>
      <c r="G41">
        <v>241.51026899999999</v>
      </c>
      <c r="H41">
        <v>267.51361100000003</v>
      </c>
      <c r="I41">
        <v>36.373038999999999</v>
      </c>
      <c r="J41">
        <v>46.130783000000001</v>
      </c>
    </row>
    <row r="42" spans="1:10" x14ac:dyDescent="0.25">
      <c r="A42">
        <v>41</v>
      </c>
      <c r="B42" s="3" t="s">
        <v>409</v>
      </c>
      <c r="C42" s="3" t="s">
        <v>410</v>
      </c>
      <c r="D42" t="s">
        <v>411</v>
      </c>
      <c r="E42">
        <v>300.39999999999998</v>
      </c>
      <c r="F42">
        <v>307.2</v>
      </c>
      <c r="G42">
        <v>203.003128</v>
      </c>
      <c r="H42">
        <v>197.33088699999999</v>
      </c>
      <c r="I42">
        <v>1.9725280000000001</v>
      </c>
      <c r="J42">
        <v>0.18416299999999999</v>
      </c>
    </row>
    <row r="43" spans="1:10" x14ac:dyDescent="0.25">
      <c r="A43">
        <v>42</v>
      </c>
      <c r="B43" s="3" t="s">
        <v>387</v>
      </c>
      <c r="C43" s="3" t="s">
        <v>368</v>
      </c>
      <c r="D43" t="s">
        <v>412</v>
      </c>
      <c r="E43">
        <v>148.9</v>
      </c>
      <c r="F43">
        <v>161.19999999999999</v>
      </c>
      <c r="G43">
        <v>103.274529</v>
      </c>
      <c r="H43">
        <v>29.161762</v>
      </c>
      <c r="I43">
        <v>71.445503000000002</v>
      </c>
      <c r="J43">
        <v>64.654792999999998</v>
      </c>
    </row>
    <row r="44" spans="1:10" x14ac:dyDescent="0.25">
      <c r="A44">
        <v>43</v>
      </c>
      <c r="B44" s="3" t="s">
        <v>368</v>
      </c>
      <c r="C44" s="3" t="s">
        <v>374</v>
      </c>
      <c r="D44" t="s">
        <v>412</v>
      </c>
      <c r="E44">
        <v>161.19999999999999</v>
      </c>
      <c r="F44">
        <v>201.3</v>
      </c>
      <c r="G44">
        <v>29.161762</v>
      </c>
      <c r="H44">
        <v>305.93154900000002</v>
      </c>
      <c r="I44">
        <v>64.654792999999998</v>
      </c>
      <c r="J44">
        <v>59.731762000000003</v>
      </c>
    </row>
    <row r="45" spans="1:10" x14ac:dyDescent="0.25">
      <c r="A45">
        <v>44</v>
      </c>
      <c r="B45" s="3" t="s">
        <v>410</v>
      </c>
      <c r="C45" s="3" t="s">
        <v>409</v>
      </c>
      <c r="D45" t="s">
        <v>413</v>
      </c>
      <c r="E45">
        <v>339.3</v>
      </c>
      <c r="F45">
        <v>276.60000000000002</v>
      </c>
      <c r="G45">
        <v>186.628784</v>
      </c>
      <c r="H45">
        <v>247.31231700000001</v>
      </c>
      <c r="I45">
        <v>-4.474812</v>
      </c>
      <c r="J45">
        <v>3.7870490000000001</v>
      </c>
    </row>
    <row r="46" spans="1:10" x14ac:dyDescent="0.25">
      <c r="A46">
        <v>45</v>
      </c>
      <c r="B46" s="3" t="s">
        <v>371</v>
      </c>
      <c r="C46" s="3" t="s">
        <v>372</v>
      </c>
      <c r="D46" t="s">
        <v>414</v>
      </c>
      <c r="E46">
        <v>245.9</v>
      </c>
      <c r="F46">
        <v>191.7</v>
      </c>
      <c r="G46">
        <v>220.568375</v>
      </c>
      <c r="H46">
        <v>321.083618</v>
      </c>
      <c r="I46">
        <v>54.736877</v>
      </c>
      <c r="J46">
        <v>73.164635000000004</v>
      </c>
    </row>
    <row r="47" spans="1:10" x14ac:dyDescent="0.25">
      <c r="A47">
        <v>46</v>
      </c>
      <c r="B47" s="3" t="s">
        <v>387</v>
      </c>
      <c r="C47" s="3" t="s">
        <v>383</v>
      </c>
      <c r="D47" t="s">
        <v>415</v>
      </c>
      <c r="E47">
        <v>101</v>
      </c>
      <c r="F47">
        <v>57.1</v>
      </c>
      <c r="G47">
        <v>118.972679</v>
      </c>
      <c r="H47">
        <v>143.913116</v>
      </c>
      <c r="I47">
        <v>36.172443000000001</v>
      </c>
      <c r="J47">
        <v>9.4340700000000002</v>
      </c>
    </row>
    <row r="48" spans="1:10" x14ac:dyDescent="0.25">
      <c r="A48">
        <v>47</v>
      </c>
      <c r="B48" s="3" t="s">
        <v>383</v>
      </c>
      <c r="C48" s="3" t="s">
        <v>368</v>
      </c>
      <c r="D48" t="s">
        <v>415</v>
      </c>
      <c r="E48">
        <v>57.1</v>
      </c>
      <c r="F48">
        <v>134.5</v>
      </c>
      <c r="G48">
        <v>143.913116</v>
      </c>
      <c r="H48">
        <v>81.567841000000001</v>
      </c>
      <c r="I48">
        <v>9.4340700000000002</v>
      </c>
      <c r="J48">
        <v>47.877074999999998</v>
      </c>
    </row>
    <row r="49" spans="1:10" x14ac:dyDescent="0.25">
      <c r="A49">
        <v>48</v>
      </c>
      <c r="B49" s="3" t="s">
        <v>371</v>
      </c>
      <c r="C49" s="3" t="s">
        <v>372</v>
      </c>
      <c r="D49" t="s">
        <v>416</v>
      </c>
      <c r="E49">
        <v>272.2</v>
      </c>
      <c r="F49">
        <v>201.7</v>
      </c>
      <c r="G49">
        <v>241.69612100000001</v>
      </c>
      <c r="H49">
        <v>311.62545799999998</v>
      </c>
      <c r="I49">
        <v>41.818812999999999</v>
      </c>
      <c r="J49">
        <v>72.719275999999994</v>
      </c>
    </row>
    <row r="50" spans="1:10" x14ac:dyDescent="0.25">
      <c r="A50">
        <v>49</v>
      </c>
      <c r="B50" s="3" t="s">
        <v>371</v>
      </c>
      <c r="C50" s="3" t="s">
        <v>372</v>
      </c>
      <c r="D50" t="s">
        <v>417</v>
      </c>
      <c r="E50">
        <v>223.3</v>
      </c>
      <c r="F50">
        <v>191.6</v>
      </c>
      <c r="G50">
        <v>278.46115099999997</v>
      </c>
      <c r="H50">
        <v>5.5848550000000001</v>
      </c>
      <c r="I50">
        <v>64.519645999999995</v>
      </c>
      <c r="J50">
        <v>68.887764000000004</v>
      </c>
    </row>
    <row r="51" spans="1:10" x14ac:dyDescent="0.25">
      <c r="A51">
        <v>50</v>
      </c>
      <c r="B51" s="3" t="s">
        <v>372</v>
      </c>
      <c r="C51" s="3" t="s">
        <v>374</v>
      </c>
      <c r="D51" t="s">
        <v>418</v>
      </c>
      <c r="E51">
        <v>191.6</v>
      </c>
      <c r="F51">
        <v>224</v>
      </c>
      <c r="G51">
        <v>5.5848550000000001</v>
      </c>
      <c r="H51">
        <v>325.92834499999998</v>
      </c>
      <c r="I51">
        <v>68.887764000000004</v>
      </c>
      <c r="J51">
        <v>45.081932000000002</v>
      </c>
    </row>
    <row r="52" spans="1:10" x14ac:dyDescent="0.25">
      <c r="A52">
        <v>51</v>
      </c>
      <c r="B52" s="3" t="s">
        <v>369</v>
      </c>
      <c r="C52" s="3" t="s">
        <v>368</v>
      </c>
      <c r="D52" t="s">
        <v>419</v>
      </c>
      <c r="E52">
        <v>202.5</v>
      </c>
      <c r="F52">
        <v>100.2</v>
      </c>
      <c r="G52">
        <v>136.581253</v>
      </c>
      <c r="H52">
        <v>33.370697</v>
      </c>
      <c r="I52">
        <v>72.831657000000007</v>
      </c>
      <c r="J52">
        <v>34.742046000000002</v>
      </c>
    </row>
    <row r="53" spans="1:10" x14ac:dyDescent="0.25">
      <c r="A53">
        <v>52</v>
      </c>
      <c r="B53" s="3" t="s">
        <v>371</v>
      </c>
      <c r="C53" s="3" t="s">
        <v>372</v>
      </c>
      <c r="D53" t="s">
        <v>420</v>
      </c>
      <c r="E53">
        <v>250.1</v>
      </c>
      <c r="F53">
        <v>207.3</v>
      </c>
      <c r="G53">
        <v>184.470947</v>
      </c>
      <c r="H53">
        <v>238.65463299999999</v>
      </c>
      <c r="I53">
        <v>43.054152999999999</v>
      </c>
      <c r="J53">
        <v>59.923138000000002</v>
      </c>
    </row>
    <row r="54" spans="1:10" x14ac:dyDescent="0.25">
      <c r="A54">
        <v>53</v>
      </c>
      <c r="B54" s="3" t="s">
        <v>383</v>
      </c>
      <c r="C54" s="3" t="s">
        <v>387</v>
      </c>
      <c r="D54" t="s">
        <v>421</v>
      </c>
      <c r="E54">
        <v>68.5</v>
      </c>
      <c r="F54">
        <v>131.9</v>
      </c>
      <c r="G54">
        <v>68.319305</v>
      </c>
      <c r="H54">
        <v>27.571756000000001</v>
      </c>
      <c r="I54">
        <v>24.148819</v>
      </c>
      <c r="J54">
        <v>56.700671999999997</v>
      </c>
    </row>
    <row r="55" spans="1:10" x14ac:dyDescent="0.25">
      <c r="A55">
        <v>54</v>
      </c>
      <c r="B55" s="3" t="s">
        <v>387</v>
      </c>
      <c r="C55" s="3" t="s">
        <v>368</v>
      </c>
      <c r="D55" t="s">
        <v>421</v>
      </c>
      <c r="E55">
        <v>131.9</v>
      </c>
      <c r="F55">
        <v>150.19999999999999</v>
      </c>
      <c r="G55">
        <v>27.571756000000001</v>
      </c>
      <c r="H55">
        <v>344.70455900000002</v>
      </c>
      <c r="I55">
        <v>56.700671999999997</v>
      </c>
      <c r="J55">
        <v>53.122912999999997</v>
      </c>
    </row>
    <row r="56" spans="1:10" x14ac:dyDescent="0.25">
      <c r="A56">
        <v>55</v>
      </c>
      <c r="B56" s="3" t="s">
        <v>409</v>
      </c>
      <c r="C56" s="3" t="s">
        <v>410</v>
      </c>
      <c r="D56" t="s">
        <v>422</v>
      </c>
      <c r="E56">
        <v>298.7</v>
      </c>
      <c r="F56">
        <v>304.39999999999998</v>
      </c>
      <c r="G56">
        <v>189.75842299999999</v>
      </c>
      <c r="H56">
        <v>185.617493</v>
      </c>
      <c r="I56">
        <v>0.73375599999999996</v>
      </c>
      <c r="J56">
        <v>-1.9785870000000001</v>
      </c>
    </row>
    <row r="57" spans="1:10" x14ac:dyDescent="0.25">
      <c r="A57">
        <v>56</v>
      </c>
      <c r="B57" s="3" t="s">
        <v>423</v>
      </c>
      <c r="C57" s="3" t="s">
        <v>410</v>
      </c>
      <c r="D57" t="s">
        <v>424</v>
      </c>
      <c r="E57">
        <v>157.4</v>
      </c>
      <c r="F57">
        <v>321</v>
      </c>
      <c r="G57">
        <v>20.905412999999999</v>
      </c>
      <c r="H57">
        <v>182.33625799999999</v>
      </c>
      <c r="I57">
        <v>67.100387999999995</v>
      </c>
      <c r="J57">
        <v>-1.988186</v>
      </c>
    </row>
    <row r="58" spans="1:10" x14ac:dyDescent="0.25">
      <c r="A58">
        <v>57</v>
      </c>
      <c r="B58" s="3" t="s">
        <v>369</v>
      </c>
      <c r="C58" s="3" t="s">
        <v>374</v>
      </c>
      <c r="D58" t="s">
        <v>425</v>
      </c>
      <c r="E58">
        <v>230</v>
      </c>
      <c r="F58">
        <v>231.7</v>
      </c>
      <c r="G58">
        <v>251.620102</v>
      </c>
      <c r="H58">
        <v>246.25329600000001</v>
      </c>
      <c r="I58">
        <v>45.098576000000001</v>
      </c>
      <c r="J58">
        <v>46.958015000000003</v>
      </c>
    </row>
    <row r="59" spans="1:10" x14ac:dyDescent="0.25">
      <c r="A59">
        <v>58</v>
      </c>
      <c r="B59" s="3" t="s">
        <v>374</v>
      </c>
      <c r="C59" s="3" t="s">
        <v>368</v>
      </c>
      <c r="D59" t="s">
        <v>425</v>
      </c>
      <c r="E59">
        <v>231.7</v>
      </c>
      <c r="F59">
        <v>173.7</v>
      </c>
      <c r="G59">
        <v>246.25329600000001</v>
      </c>
      <c r="H59">
        <v>15.069182</v>
      </c>
      <c r="I59">
        <v>46.958015000000003</v>
      </c>
      <c r="J59">
        <v>83.773383999999993</v>
      </c>
    </row>
    <row r="60" spans="1:10" x14ac:dyDescent="0.25">
      <c r="A60">
        <v>59</v>
      </c>
      <c r="B60" s="3" t="s">
        <v>369</v>
      </c>
      <c r="C60" s="3" t="s">
        <v>368</v>
      </c>
      <c r="D60" t="s">
        <v>426</v>
      </c>
      <c r="E60">
        <v>140</v>
      </c>
      <c r="F60">
        <v>102.3</v>
      </c>
      <c r="G60">
        <v>91.687965000000005</v>
      </c>
      <c r="H60">
        <v>90.231635999999995</v>
      </c>
      <c r="I60">
        <v>64.430824000000001</v>
      </c>
      <c r="J60">
        <v>26.921109999999999</v>
      </c>
    </row>
    <row r="61" spans="1:10" x14ac:dyDescent="0.25">
      <c r="A61">
        <v>60</v>
      </c>
      <c r="B61" s="3" t="s">
        <v>427</v>
      </c>
      <c r="C61" s="3" t="s">
        <v>383</v>
      </c>
      <c r="D61" t="s">
        <v>428</v>
      </c>
      <c r="E61">
        <v>289.39999999999998</v>
      </c>
      <c r="F61">
        <v>16.5</v>
      </c>
      <c r="G61">
        <v>221.62666300000001</v>
      </c>
      <c r="H61">
        <v>160.54624899999999</v>
      </c>
      <c r="I61">
        <v>22.381212000000001</v>
      </c>
      <c r="J61">
        <v>-8.1083979999999993</v>
      </c>
    </row>
    <row r="62" spans="1:10" x14ac:dyDescent="0.25">
      <c r="A62">
        <v>61</v>
      </c>
      <c r="B62" s="3" t="s">
        <v>383</v>
      </c>
      <c r="C62" s="3" t="s">
        <v>369</v>
      </c>
      <c r="D62" t="s">
        <v>428</v>
      </c>
      <c r="E62">
        <v>16.5</v>
      </c>
      <c r="F62">
        <v>237.9</v>
      </c>
      <c r="G62">
        <v>160.54624899999999</v>
      </c>
      <c r="H62">
        <v>252.292236</v>
      </c>
      <c r="I62">
        <v>-8.1083979999999993</v>
      </c>
      <c r="J62">
        <v>50.366951</v>
      </c>
    </row>
    <row r="63" spans="1:10" x14ac:dyDescent="0.25">
      <c r="A63">
        <v>62</v>
      </c>
      <c r="B63" s="3" t="s">
        <v>369</v>
      </c>
      <c r="C63" s="3" t="s">
        <v>368</v>
      </c>
      <c r="D63" t="s">
        <v>428</v>
      </c>
      <c r="E63">
        <v>237.9</v>
      </c>
      <c r="F63">
        <v>118.2</v>
      </c>
      <c r="G63">
        <v>252.292236</v>
      </c>
      <c r="H63">
        <v>120.136307</v>
      </c>
      <c r="I63">
        <v>50.366951</v>
      </c>
      <c r="J63">
        <v>54.548327999999998</v>
      </c>
    </row>
    <row r="64" spans="1:10" x14ac:dyDescent="0.25">
      <c r="A64">
        <v>63</v>
      </c>
      <c r="B64" s="3" t="s">
        <v>368</v>
      </c>
      <c r="C64" s="3" t="s">
        <v>374</v>
      </c>
      <c r="D64" t="s">
        <v>428</v>
      </c>
      <c r="E64">
        <v>118.2</v>
      </c>
      <c r="F64">
        <v>243.4</v>
      </c>
      <c r="G64">
        <v>120.136307</v>
      </c>
      <c r="H64">
        <v>238.37901299999999</v>
      </c>
      <c r="I64">
        <v>54.548327999999998</v>
      </c>
      <c r="J64">
        <v>51.215710000000001</v>
      </c>
    </row>
    <row r="65" spans="1:10" x14ac:dyDescent="0.25">
      <c r="A65">
        <v>64</v>
      </c>
      <c r="B65" s="3" t="s">
        <v>387</v>
      </c>
      <c r="C65" s="3" t="s">
        <v>383</v>
      </c>
      <c r="D65" t="s">
        <v>429</v>
      </c>
      <c r="E65">
        <v>90.1</v>
      </c>
      <c r="F65">
        <v>41.1</v>
      </c>
      <c r="G65">
        <v>147.61402899999999</v>
      </c>
      <c r="H65">
        <v>167.362244</v>
      </c>
      <c r="I65">
        <v>38.919502000000001</v>
      </c>
      <c r="J65">
        <v>8.0566399999999998</v>
      </c>
    </row>
    <row r="66" spans="1:10" x14ac:dyDescent="0.25">
      <c r="A66">
        <v>65</v>
      </c>
      <c r="B66" s="3" t="s">
        <v>383</v>
      </c>
      <c r="C66" s="3" t="s">
        <v>427</v>
      </c>
      <c r="D66" t="s">
        <v>429</v>
      </c>
      <c r="E66">
        <v>41.1</v>
      </c>
      <c r="F66">
        <v>238.3</v>
      </c>
      <c r="G66">
        <v>167.362244</v>
      </c>
      <c r="H66">
        <v>260.10409499999997</v>
      </c>
      <c r="I66">
        <v>8.0566399999999998</v>
      </c>
      <c r="J66">
        <v>55.459904000000002</v>
      </c>
    </row>
    <row r="67" spans="1:10" x14ac:dyDescent="0.25">
      <c r="A67">
        <v>66</v>
      </c>
      <c r="B67" s="3" t="s">
        <v>427</v>
      </c>
      <c r="C67" s="3" t="s">
        <v>368</v>
      </c>
      <c r="D67" t="s">
        <v>430</v>
      </c>
      <c r="E67">
        <v>238.3</v>
      </c>
      <c r="F67">
        <v>138.5</v>
      </c>
      <c r="G67">
        <v>260.10409499999997</v>
      </c>
      <c r="H67">
        <v>95.816260999999997</v>
      </c>
      <c r="I67">
        <v>55.459904000000002</v>
      </c>
      <c r="J67">
        <v>55.865291999999997</v>
      </c>
    </row>
    <row r="68" spans="1:10" x14ac:dyDescent="0.25">
      <c r="A68">
        <v>67</v>
      </c>
      <c r="B68" s="3" t="s">
        <v>369</v>
      </c>
      <c r="C68" s="3" t="s">
        <v>427</v>
      </c>
      <c r="D68" t="s">
        <v>431</v>
      </c>
      <c r="E68">
        <v>202.7</v>
      </c>
      <c r="F68">
        <v>327.7</v>
      </c>
      <c r="G68">
        <v>240.09021000000001</v>
      </c>
      <c r="H68">
        <v>214.56359900000001</v>
      </c>
      <c r="I68">
        <v>73.956795</v>
      </c>
      <c r="J68">
        <v>23.213158</v>
      </c>
    </row>
    <row r="69" spans="1:10" x14ac:dyDescent="0.25">
      <c r="A69">
        <v>68</v>
      </c>
      <c r="B69" s="3" t="s">
        <v>427</v>
      </c>
      <c r="C69" s="3" t="s">
        <v>368</v>
      </c>
      <c r="D69" t="s">
        <v>432</v>
      </c>
      <c r="E69">
        <v>327.7</v>
      </c>
      <c r="F69">
        <v>98.8</v>
      </c>
      <c r="G69">
        <v>214.56359900000001</v>
      </c>
      <c r="H69">
        <v>125.93254899999999</v>
      </c>
      <c r="I69">
        <v>23.213158</v>
      </c>
      <c r="J69">
        <v>30.676984999999998</v>
      </c>
    </row>
    <row r="70" spans="1:10" x14ac:dyDescent="0.25">
      <c r="A70">
        <v>69</v>
      </c>
      <c r="B70" s="3" t="s">
        <v>409</v>
      </c>
      <c r="C70" s="3" t="s">
        <v>410</v>
      </c>
      <c r="D70" t="s">
        <v>433</v>
      </c>
      <c r="E70">
        <v>303.7</v>
      </c>
      <c r="F70">
        <v>312.39999999999998</v>
      </c>
      <c r="G70">
        <v>252.26513700000001</v>
      </c>
      <c r="H70">
        <v>245.01118500000001</v>
      </c>
      <c r="I70">
        <v>0.453768</v>
      </c>
      <c r="J70">
        <v>-1.835696</v>
      </c>
    </row>
    <row r="71" spans="1:10" x14ac:dyDescent="0.25">
      <c r="A71">
        <v>70</v>
      </c>
      <c r="B71" s="3" t="s">
        <v>387</v>
      </c>
      <c r="C71" s="3" t="s">
        <v>383</v>
      </c>
      <c r="D71" t="s">
        <v>434</v>
      </c>
      <c r="E71">
        <v>116.7</v>
      </c>
      <c r="F71">
        <v>76.400000000000006</v>
      </c>
      <c r="G71">
        <v>120.16731299999999</v>
      </c>
      <c r="H71">
        <v>146.27153000000001</v>
      </c>
      <c r="I71">
        <v>43.907364000000001</v>
      </c>
      <c r="J71">
        <v>20.763297999999999</v>
      </c>
    </row>
    <row r="72" spans="1:10" x14ac:dyDescent="0.25">
      <c r="A72">
        <v>71</v>
      </c>
      <c r="B72" s="3" t="s">
        <v>383</v>
      </c>
      <c r="C72" s="3" t="s">
        <v>368</v>
      </c>
      <c r="D72" t="s">
        <v>434</v>
      </c>
      <c r="E72">
        <v>76.400000000000006</v>
      </c>
      <c r="F72">
        <v>139.9</v>
      </c>
      <c r="G72">
        <v>146.27153000000001</v>
      </c>
      <c r="H72">
        <v>87.848938000000004</v>
      </c>
      <c r="I72">
        <v>20.763297999999999</v>
      </c>
      <c r="J72">
        <v>49.339965999999997</v>
      </c>
    </row>
    <row r="73" spans="1:10" x14ac:dyDescent="0.25">
      <c r="A73">
        <v>72</v>
      </c>
      <c r="B73" s="3" t="s">
        <v>371</v>
      </c>
      <c r="C73" s="3" t="s">
        <v>374</v>
      </c>
      <c r="D73" t="s">
        <v>435</v>
      </c>
      <c r="E73">
        <v>210.7</v>
      </c>
      <c r="F73">
        <v>217.8</v>
      </c>
      <c r="G73">
        <v>325.80175800000001</v>
      </c>
      <c r="H73">
        <v>336.54544099999998</v>
      </c>
      <c r="I73">
        <v>63.8172</v>
      </c>
      <c r="J73">
        <v>44.466534000000003</v>
      </c>
    </row>
    <row r="74" spans="1:10" x14ac:dyDescent="0.25">
      <c r="A74">
        <v>73</v>
      </c>
      <c r="B74" s="3" t="s">
        <v>374</v>
      </c>
      <c r="C74" s="3" t="s">
        <v>372</v>
      </c>
      <c r="D74" t="s">
        <v>436</v>
      </c>
      <c r="E74">
        <v>217.8</v>
      </c>
      <c r="F74">
        <v>193.6</v>
      </c>
      <c r="G74">
        <v>336.54544099999998</v>
      </c>
      <c r="H74">
        <v>8.1999720000000007</v>
      </c>
      <c r="I74">
        <v>44.466534000000003</v>
      </c>
      <c r="J74">
        <v>59.830348999999998</v>
      </c>
    </row>
    <row r="75" spans="1:10" x14ac:dyDescent="0.25">
      <c r="A75">
        <v>74</v>
      </c>
      <c r="B75" s="3" t="s">
        <v>371</v>
      </c>
      <c r="C75" s="3" t="s">
        <v>372</v>
      </c>
      <c r="D75" t="s">
        <v>437</v>
      </c>
      <c r="E75">
        <v>257.7</v>
      </c>
      <c r="F75">
        <v>227.2</v>
      </c>
      <c r="G75">
        <v>295.41153000000003</v>
      </c>
      <c r="H75">
        <v>323.916901</v>
      </c>
      <c r="I75">
        <v>30.199553000000002</v>
      </c>
      <c r="J75">
        <v>45.854374</v>
      </c>
    </row>
    <row r="76" spans="1:10" x14ac:dyDescent="0.25">
      <c r="A76">
        <v>75</v>
      </c>
      <c r="B76" s="3" t="s">
        <v>387</v>
      </c>
      <c r="C76" s="3" t="s">
        <v>372</v>
      </c>
      <c r="D76" t="s">
        <v>438</v>
      </c>
      <c r="E76">
        <v>202.9</v>
      </c>
      <c r="F76">
        <v>190.1</v>
      </c>
      <c r="G76">
        <v>160.27658099999999</v>
      </c>
      <c r="H76">
        <v>214.24411000000001</v>
      </c>
      <c r="I76">
        <v>73.325385999999995</v>
      </c>
      <c r="J76">
        <v>62.390113999999997</v>
      </c>
    </row>
    <row r="77" spans="1:10" x14ac:dyDescent="0.25">
      <c r="A77">
        <v>76</v>
      </c>
      <c r="B77" s="3" t="s">
        <v>368</v>
      </c>
      <c r="C77" s="3" t="s">
        <v>387</v>
      </c>
      <c r="D77" t="s">
        <v>439</v>
      </c>
      <c r="E77">
        <v>134.30000000000001</v>
      </c>
      <c r="F77">
        <v>102.1</v>
      </c>
      <c r="G77">
        <v>314.99404900000002</v>
      </c>
      <c r="H77">
        <v>351.160797</v>
      </c>
      <c r="I77">
        <v>46.758502999999997</v>
      </c>
      <c r="J77">
        <v>35.480358000000003</v>
      </c>
    </row>
    <row r="78" spans="1:10" x14ac:dyDescent="0.25">
      <c r="A78">
        <v>77</v>
      </c>
      <c r="B78" s="3" t="s">
        <v>409</v>
      </c>
      <c r="C78" s="3" t="s">
        <v>410</v>
      </c>
      <c r="D78" t="s">
        <v>440</v>
      </c>
      <c r="E78">
        <v>289.5</v>
      </c>
      <c r="F78">
        <v>298.8</v>
      </c>
      <c r="G78">
        <v>152.97001599999999</v>
      </c>
      <c r="H78">
        <v>144.74839800000001</v>
      </c>
      <c r="I78">
        <v>9.5230949999999996</v>
      </c>
      <c r="J78">
        <v>7.3983780000000001</v>
      </c>
    </row>
    <row r="79" spans="1:10" x14ac:dyDescent="0.25">
      <c r="A79">
        <v>78</v>
      </c>
      <c r="B79" s="2" t="s">
        <v>383</v>
      </c>
      <c r="C79" s="2" t="s">
        <v>427</v>
      </c>
      <c r="D79" t="s">
        <v>441</v>
      </c>
      <c r="E79">
        <v>35</v>
      </c>
      <c r="F79">
        <v>271.3</v>
      </c>
      <c r="G79">
        <v>98.011229999999998</v>
      </c>
      <c r="H79">
        <v>172.42306500000001</v>
      </c>
      <c r="I79">
        <v>-1.3900889999999999</v>
      </c>
      <c r="J79">
        <v>39.929099999999998</v>
      </c>
    </row>
    <row r="80" spans="1:10" x14ac:dyDescent="0.25">
      <c r="A80">
        <v>79</v>
      </c>
      <c r="B80" s="2" t="s">
        <v>368</v>
      </c>
      <c r="C80" s="2" t="s">
        <v>427</v>
      </c>
      <c r="D80" t="s">
        <v>442</v>
      </c>
      <c r="E80">
        <v>99.3</v>
      </c>
      <c r="F80">
        <v>326.10000000000002</v>
      </c>
      <c r="G80">
        <v>57.640808</v>
      </c>
      <c r="H80">
        <v>148.92549099999999</v>
      </c>
      <c r="I80">
        <v>30.18656</v>
      </c>
      <c r="J80">
        <v>22.104046</v>
      </c>
    </row>
    <row r="81" spans="1:10" x14ac:dyDescent="0.25">
      <c r="A81">
        <v>80</v>
      </c>
      <c r="B81" s="2" t="s">
        <v>423</v>
      </c>
      <c r="C81" s="2" t="s">
        <v>383</v>
      </c>
      <c r="D81" t="s">
        <v>443</v>
      </c>
      <c r="E81">
        <v>172.8</v>
      </c>
      <c r="F81">
        <v>76.900000000000006</v>
      </c>
      <c r="G81">
        <v>349.92666600000001</v>
      </c>
      <c r="H81">
        <v>74.080353000000002</v>
      </c>
      <c r="I81">
        <v>81.016723999999996</v>
      </c>
      <c r="J81">
        <v>15.320995</v>
      </c>
    </row>
    <row r="82" spans="1:10" x14ac:dyDescent="0.25">
      <c r="A82">
        <v>81</v>
      </c>
      <c r="B82" s="3" t="s">
        <v>383</v>
      </c>
      <c r="C82" s="3" t="s">
        <v>387</v>
      </c>
      <c r="D82" t="s">
        <v>443</v>
      </c>
      <c r="E82">
        <v>76.900000000000006</v>
      </c>
      <c r="F82">
        <v>110.6</v>
      </c>
      <c r="G82">
        <v>74.080353000000002</v>
      </c>
      <c r="H82">
        <v>50.038887000000003</v>
      </c>
      <c r="I82">
        <v>15.320995</v>
      </c>
      <c r="J82">
        <v>34.743881000000002</v>
      </c>
    </row>
    <row r="83" spans="1:10" x14ac:dyDescent="0.25">
      <c r="A83">
        <v>82</v>
      </c>
      <c r="B83" s="2" t="s">
        <v>368</v>
      </c>
      <c r="C83" s="2" t="s">
        <v>427</v>
      </c>
      <c r="D83" t="s">
        <v>444</v>
      </c>
      <c r="E83">
        <v>98.9</v>
      </c>
      <c r="F83">
        <v>295.8</v>
      </c>
      <c r="G83">
        <v>105.882935</v>
      </c>
      <c r="H83">
        <v>184.50588999999999</v>
      </c>
      <c r="I83">
        <v>49.780994</v>
      </c>
      <c r="J83">
        <v>12.938686000000001</v>
      </c>
    </row>
    <row r="84" spans="1:10" x14ac:dyDescent="0.25">
      <c r="A84">
        <v>83</v>
      </c>
      <c r="B84" s="2" t="s">
        <v>369</v>
      </c>
      <c r="C84" s="2" t="s">
        <v>427</v>
      </c>
      <c r="D84" t="s">
        <v>445</v>
      </c>
      <c r="E84">
        <v>217.2</v>
      </c>
      <c r="F84">
        <v>311.39999999999998</v>
      </c>
      <c r="G84">
        <v>224.98744199999999</v>
      </c>
      <c r="H84">
        <v>175.83161899999999</v>
      </c>
      <c r="I84">
        <v>66.552040000000005</v>
      </c>
      <c r="J84">
        <v>23.608183</v>
      </c>
    </row>
    <row r="85" spans="1:10" x14ac:dyDescent="0.25">
      <c r="A85">
        <v>84</v>
      </c>
      <c r="B85" s="3" t="s">
        <v>423</v>
      </c>
      <c r="C85" s="3" t="s">
        <v>387</v>
      </c>
      <c r="D85" t="s">
        <v>446</v>
      </c>
      <c r="E85">
        <v>156.80000000000001</v>
      </c>
      <c r="F85">
        <v>110.2</v>
      </c>
      <c r="G85">
        <v>54.321888000000001</v>
      </c>
      <c r="H85">
        <v>84.570808</v>
      </c>
      <c r="I85">
        <v>69.452911</v>
      </c>
      <c r="J85">
        <v>30.089034999999999</v>
      </c>
    </row>
    <row r="86" spans="1:10" x14ac:dyDescent="0.25">
      <c r="A86">
        <v>85</v>
      </c>
      <c r="B86" s="3" t="s">
        <v>387</v>
      </c>
      <c r="C86" s="3" t="s">
        <v>369</v>
      </c>
      <c r="D86" t="s">
        <v>446</v>
      </c>
      <c r="E86">
        <v>110.2</v>
      </c>
      <c r="F86">
        <v>163.1</v>
      </c>
      <c r="G86">
        <v>84.570808</v>
      </c>
      <c r="H86">
        <v>24.258853999999999</v>
      </c>
      <c r="I86">
        <v>30.089034999999999</v>
      </c>
      <c r="J86">
        <v>58.191212</v>
      </c>
    </row>
    <row r="87" spans="1:10" x14ac:dyDescent="0.25">
      <c r="A87">
        <v>86</v>
      </c>
      <c r="B87" s="3" t="s">
        <v>423</v>
      </c>
      <c r="C87" s="3" t="s">
        <v>369</v>
      </c>
      <c r="D87" t="s">
        <v>447</v>
      </c>
      <c r="E87">
        <v>150.1</v>
      </c>
      <c r="F87">
        <v>159.9</v>
      </c>
      <c r="G87">
        <v>92.075539000000006</v>
      </c>
      <c r="H87">
        <v>43.966160000000002</v>
      </c>
      <c r="I87">
        <v>70.242699000000002</v>
      </c>
      <c r="J87">
        <v>62.436306000000002</v>
      </c>
    </row>
    <row r="88" spans="1:10" x14ac:dyDescent="0.25">
      <c r="A88">
        <v>87</v>
      </c>
      <c r="B88" s="3" t="s">
        <v>369</v>
      </c>
      <c r="C88" s="3" t="s">
        <v>368</v>
      </c>
      <c r="D88" t="s">
        <v>448</v>
      </c>
      <c r="E88">
        <v>258.5</v>
      </c>
      <c r="F88">
        <v>80.8</v>
      </c>
      <c r="G88">
        <v>252.85328699999999</v>
      </c>
      <c r="H88">
        <v>147.527008</v>
      </c>
      <c r="I88">
        <v>42.336734999999997</v>
      </c>
      <c r="J88">
        <v>31.799178999999999</v>
      </c>
    </row>
    <row r="89" spans="1:10" x14ac:dyDescent="0.25">
      <c r="A89">
        <v>88</v>
      </c>
      <c r="B89" s="3" t="s">
        <v>374</v>
      </c>
      <c r="C89" s="3" t="s">
        <v>369</v>
      </c>
      <c r="D89" t="s">
        <v>449</v>
      </c>
      <c r="E89">
        <v>189.8</v>
      </c>
      <c r="F89">
        <v>193.8</v>
      </c>
      <c r="G89">
        <v>19.982481</v>
      </c>
      <c r="H89">
        <v>13.811601</v>
      </c>
      <c r="I89">
        <v>66.616759999999999</v>
      </c>
      <c r="J89">
        <v>62.685744999999997</v>
      </c>
    </row>
    <row r="90" spans="1:10" x14ac:dyDescent="0.25">
      <c r="A90">
        <v>89</v>
      </c>
      <c r="B90" s="3" t="s">
        <v>383</v>
      </c>
      <c r="C90" s="3" t="s">
        <v>387</v>
      </c>
      <c r="D90" t="s">
        <v>450</v>
      </c>
      <c r="E90">
        <v>54.8</v>
      </c>
      <c r="F90">
        <v>121.4</v>
      </c>
      <c r="G90">
        <v>9.1723780000000001</v>
      </c>
      <c r="H90">
        <v>332.70559700000001</v>
      </c>
      <c r="I90">
        <v>15.31047</v>
      </c>
      <c r="J90">
        <v>51.684398999999999</v>
      </c>
    </row>
    <row r="91" spans="1:10" x14ac:dyDescent="0.25">
      <c r="A91">
        <v>90</v>
      </c>
      <c r="B91" s="3" t="s">
        <v>374</v>
      </c>
      <c r="C91" s="3" t="s">
        <v>369</v>
      </c>
      <c r="D91" t="s">
        <v>451</v>
      </c>
      <c r="E91">
        <v>189.5</v>
      </c>
      <c r="F91">
        <v>197.6</v>
      </c>
      <c r="G91">
        <v>204.2388</v>
      </c>
      <c r="H91">
        <v>194.450638</v>
      </c>
      <c r="I91">
        <v>75.397178999999994</v>
      </c>
      <c r="J91">
        <v>66.652084000000002</v>
      </c>
    </row>
    <row r="92" spans="1:10" x14ac:dyDescent="0.25">
      <c r="A92">
        <v>91</v>
      </c>
      <c r="B92" s="3" t="s">
        <v>369</v>
      </c>
      <c r="C92" s="3" t="s">
        <v>368</v>
      </c>
      <c r="D92" t="s">
        <v>451</v>
      </c>
      <c r="E92">
        <v>197.6</v>
      </c>
      <c r="F92">
        <v>122.1</v>
      </c>
      <c r="G92">
        <v>194.450638</v>
      </c>
      <c r="H92">
        <v>318.73794600000002</v>
      </c>
      <c r="I92">
        <v>66.652084000000002</v>
      </c>
      <c r="J92">
        <v>38.813853999999999</v>
      </c>
    </row>
    <row r="93" spans="1:10" x14ac:dyDescent="0.25">
      <c r="A93">
        <v>92</v>
      </c>
      <c r="B93" s="3" t="s">
        <v>369</v>
      </c>
      <c r="C93" s="3" t="s">
        <v>368</v>
      </c>
      <c r="D93" t="s">
        <v>452</v>
      </c>
      <c r="E93">
        <v>211.2</v>
      </c>
      <c r="F93">
        <v>122.7</v>
      </c>
      <c r="G93">
        <v>166.60574299999999</v>
      </c>
      <c r="H93">
        <v>330.11465500000003</v>
      </c>
      <c r="I93">
        <v>64.035301000000004</v>
      </c>
      <c r="J93">
        <v>45.955246000000002</v>
      </c>
    </row>
    <row r="94" spans="1:10" x14ac:dyDescent="0.25">
      <c r="A94">
        <v>93</v>
      </c>
      <c r="B94" s="3" t="s">
        <v>368</v>
      </c>
      <c r="C94" s="3" t="s">
        <v>374</v>
      </c>
      <c r="D94" t="s">
        <v>452</v>
      </c>
      <c r="E94">
        <v>122.7</v>
      </c>
      <c r="F94">
        <v>207.5</v>
      </c>
      <c r="G94">
        <v>330.11465500000003</v>
      </c>
      <c r="H94">
        <v>153.344391</v>
      </c>
      <c r="I94">
        <v>45.955246000000002</v>
      </c>
      <c r="J94">
        <v>71.002426</v>
      </c>
    </row>
    <row r="95" spans="1:10" x14ac:dyDescent="0.25">
      <c r="A95">
        <v>94</v>
      </c>
      <c r="B95" s="3" t="s">
        <v>387</v>
      </c>
      <c r="C95" s="3" t="s">
        <v>383</v>
      </c>
      <c r="D95" t="s">
        <v>453</v>
      </c>
      <c r="E95">
        <v>150.30000000000001</v>
      </c>
      <c r="F95">
        <v>46.7</v>
      </c>
      <c r="G95">
        <v>0.96220300000000003</v>
      </c>
      <c r="H95">
        <v>50.043002999999999</v>
      </c>
      <c r="I95">
        <v>71.625465000000005</v>
      </c>
      <c r="J95">
        <v>19.321394000000002</v>
      </c>
    </row>
    <row r="96" spans="1:10" x14ac:dyDescent="0.25">
      <c r="A96">
        <v>95</v>
      </c>
      <c r="B96" s="3" t="s">
        <v>383</v>
      </c>
      <c r="C96" s="3" t="s">
        <v>368</v>
      </c>
      <c r="D96" t="s">
        <v>453</v>
      </c>
      <c r="E96">
        <v>46.7</v>
      </c>
      <c r="F96">
        <v>158.9</v>
      </c>
      <c r="G96">
        <v>50.043002999999999</v>
      </c>
      <c r="H96">
        <v>302.56924400000003</v>
      </c>
      <c r="I96">
        <v>19.321394000000002</v>
      </c>
      <c r="J96">
        <v>61.240699999999997</v>
      </c>
    </row>
    <row r="97" spans="1:10" x14ac:dyDescent="0.25">
      <c r="A97">
        <v>96</v>
      </c>
      <c r="B97" s="3" t="s">
        <v>368</v>
      </c>
      <c r="C97" s="3" t="s">
        <v>427</v>
      </c>
      <c r="D97" t="s">
        <v>454</v>
      </c>
      <c r="E97">
        <v>113.5</v>
      </c>
      <c r="F97">
        <v>292.8</v>
      </c>
      <c r="G97">
        <v>24.931425000000001</v>
      </c>
      <c r="H97">
        <v>138.89773600000001</v>
      </c>
      <c r="I97">
        <v>41.635967000000001</v>
      </c>
      <c r="J97">
        <v>31.785378000000001</v>
      </c>
    </row>
    <row r="98" spans="1:10" x14ac:dyDescent="0.25">
      <c r="A98">
        <v>97</v>
      </c>
      <c r="B98" s="3" t="s">
        <v>374</v>
      </c>
      <c r="C98" s="3" t="s">
        <v>369</v>
      </c>
      <c r="D98" t="s">
        <v>455</v>
      </c>
      <c r="E98">
        <v>139</v>
      </c>
      <c r="F98">
        <v>162.9</v>
      </c>
      <c r="G98">
        <v>42.218738999999999</v>
      </c>
      <c r="H98">
        <v>26.81579</v>
      </c>
      <c r="I98">
        <v>64.831496999999999</v>
      </c>
      <c r="J98">
        <v>79.051094000000006</v>
      </c>
    </row>
    <row r="99" spans="1:10" x14ac:dyDescent="0.25">
      <c r="A99">
        <v>98</v>
      </c>
      <c r="B99" s="3" t="s">
        <v>369</v>
      </c>
      <c r="C99" s="3" t="s">
        <v>383</v>
      </c>
      <c r="D99" t="s">
        <v>456</v>
      </c>
      <c r="E99">
        <v>152.1</v>
      </c>
      <c r="F99">
        <v>46</v>
      </c>
      <c r="G99">
        <v>46.693161000000003</v>
      </c>
      <c r="H99">
        <v>77.298271</v>
      </c>
      <c r="I99">
        <v>72.628631999999996</v>
      </c>
      <c r="J99">
        <v>-5.713514</v>
      </c>
    </row>
    <row r="100" spans="1:10" x14ac:dyDescent="0.25">
      <c r="A100">
        <v>99</v>
      </c>
      <c r="B100" s="3" t="s">
        <v>383</v>
      </c>
      <c r="C100" s="3" t="s">
        <v>368</v>
      </c>
      <c r="D100" t="s">
        <v>457</v>
      </c>
      <c r="E100">
        <v>46</v>
      </c>
      <c r="F100">
        <v>102.4</v>
      </c>
      <c r="G100">
        <v>77.298271</v>
      </c>
      <c r="H100">
        <v>40.138492999999997</v>
      </c>
      <c r="I100">
        <v>-5.713514</v>
      </c>
      <c r="J100">
        <v>29.370225999999999</v>
      </c>
    </row>
    <row r="101" spans="1:10" x14ac:dyDescent="0.25">
      <c r="A101">
        <v>100</v>
      </c>
      <c r="B101" s="3" t="s">
        <v>369</v>
      </c>
      <c r="C101" s="3" t="s">
        <v>374</v>
      </c>
      <c r="D101" t="s">
        <v>458</v>
      </c>
      <c r="E101">
        <v>193.2</v>
      </c>
      <c r="F101">
        <v>181</v>
      </c>
      <c r="G101">
        <v>255.64953600000001</v>
      </c>
      <c r="H101">
        <v>225.279922</v>
      </c>
      <c r="I101">
        <v>77.796470999999997</v>
      </c>
      <c r="J101">
        <v>89.483718999999994</v>
      </c>
    </row>
    <row r="102" spans="1:10" x14ac:dyDescent="0.25">
      <c r="A102">
        <v>101</v>
      </c>
      <c r="B102" s="3" t="s">
        <v>374</v>
      </c>
      <c r="C102" s="3" t="s">
        <v>383</v>
      </c>
      <c r="D102" t="s">
        <v>459</v>
      </c>
      <c r="E102">
        <v>181</v>
      </c>
      <c r="F102">
        <v>39.9</v>
      </c>
      <c r="G102">
        <v>225.279922</v>
      </c>
      <c r="H102">
        <v>92.479309000000001</v>
      </c>
      <c r="I102">
        <v>89.483718999999994</v>
      </c>
      <c r="J102">
        <v>-8.2101869999999995</v>
      </c>
    </row>
    <row r="103" spans="1:10" x14ac:dyDescent="0.25">
      <c r="A103">
        <v>102</v>
      </c>
      <c r="B103" s="3" t="s">
        <v>383</v>
      </c>
      <c r="C103" s="3" t="s">
        <v>368</v>
      </c>
      <c r="D103" t="s">
        <v>459</v>
      </c>
      <c r="E103">
        <v>39.9</v>
      </c>
      <c r="F103">
        <v>112.3</v>
      </c>
      <c r="G103">
        <v>92.479309000000001</v>
      </c>
      <c r="H103">
        <v>43.324885999999999</v>
      </c>
      <c r="I103">
        <v>-8.2101869999999995</v>
      </c>
      <c r="J103">
        <v>35.911166999999999</v>
      </c>
    </row>
    <row r="104" spans="1:10" x14ac:dyDescent="0.25">
      <c r="A104">
        <v>103</v>
      </c>
      <c r="B104" s="3" t="s">
        <v>368</v>
      </c>
      <c r="C104" s="3" t="s">
        <v>427</v>
      </c>
      <c r="D104" t="s">
        <v>459</v>
      </c>
      <c r="E104">
        <v>112.3</v>
      </c>
      <c r="F104">
        <v>300</v>
      </c>
      <c r="G104">
        <v>43.324885999999999</v>
      </c>
      <c r="H104">
        <v>150.140961</v>
      </c>
      <c r="I104">
        <v>35.911166999999999</v>
      </c>
      <c r="J104">
        <v>38.883045000000003</v>
      </c>
    </row>
    <row r="105" spans="1:10" x14ac:dyDescent="0.25">
      <c r="A105">
        <v>104</v>
      </c>
      <c r="B105" s="3" t="s">
        <v>383</v>
      </c>
      <c r="C105" s="3" t="s">
        <v>387</v>
      </c>
      <c r="D105" t="s">
        <v>460</v>
      </c>
      <c r="E105">
        <v>57.1</v>
      </c>
      <c r="F105">
        <v>104.6</v>
      </c>
      <c r="G105">
        <v>92.720703</v>
      </c>
      <c r="H105">
        <v>65.348640000000003</v>
      </c>
      <c r="I105">
        <v>9.8485969999999998</v>
      </c>
      <c r="J105">
        <v>38.297749000000003</v>
      </c>
    </row>
    <row r="106" spans="1:10" x14ac:dyDescent="0.25">
      <c r="A106">
        <v>105</v>
      </c>
      <c r="B106" s="3" t="s">
        <v>387</v>
      </c>
      <c r="C106" s="3" t="s">
        <v>374</v>
      </c>
      <c r="D106" t="s">
        <v>460</v>
      </c>
      <c r="E106">
        <v>104.6</v>
      </c>
      <c r="F106">
        <v>184</v>
      </c>
      <c r="G106">
        <v>65.348640000000003</v>
      </c>
      <c r="H106">
        <v>306.29251099999999</v>
      </c>
      <c r="I106">
        <v>38.297749000000003</v>
      </c>
      <c r="J106">
        <v>69.932793000000004</v>
      </c>
    </row>
    <row r="107" spans="1:10" x14ac:dyDescent="0.25">
      <c r="A107">
        <v>106</v>
      </c>
      <c r="B107" s="3" t="s">
        <v>374</v>
      </c>
      <c r="C107" s="3" t="s">
        <v>368</v>
      </c>
      <c r="D107" t="s">
        <v>460</v>
      </c>
      <c r="E107">
        <v>184</v>
      </c>
      <c r="F107">
        <v>137.5</v>
      </c>
      <c r="G107">
        <v>306.29251099999999</v>
      </c>
      <c r="H107">
        <v>25.863667</v>
      </c>
      <c r="I107">
        <v>69.932793000000004</v>
      </c>
      <c r="J107">
        <v>48.628746</v>
      </c>
    </row>
    <row r="108" spans="1:10" x14ac:dyDescent="0.25">
      <c r="A108">
        <v>107</v>
      </c>
      <c r="B108" s="3" t="s">
        <v>368</v>
      </c>
      <c r="C108" s="3" t="s">
        <v>427</v>
      </c>
      <c r="D108" t="s">
        <v>460</v>
      </c>
      <c r="E108">
        <v>137.5</v>
      </c>
      <c r="F108">
        <v>211.3</v>
      </c>
      <c r="G108">
        <v>25.863667</v>
      </c>
      <c r="H108">
        <v>218.35391200000001</v>
      </c>
      <c r="I108">
        <v>48.628746</v>
      </c>
      <c r="J108">
        <v>70.350387999999995</v>
      </c>
    </row>
    <row r="109" spans="1:10" x14ac:dyDescent="0.25">
      <c r="A109">
        <v>108</v>
      </c>
      <c r="B109" s="3" t="s">
        <v>387</v>
      </c>
      <c r="C109" s="3" t="s">
        <v>368</v>
      </c>
      <c r="D109" t="s">
        <v>461</v>
      </c>
      <c r="E109">
        <v>78.099999999999994</v>
      </c>
      <c r="F109">
        <v>146.5</v>
      </c>
      <c r="G109">
        <v>107.28968</v>
      </c>
      <c r="H109">
        <v>32.511451999999998</v>
      </c>
      <c r="I109">
        <v>36.333958000000003</v>
      </c>
      <c r="J109">
        <v>58.035190999999998</v>
      </c>
    </row>
    <row r="110" spans="1:10" x14ac:dyDescent="0.25">
      <c r="A110">
        <v>109</v>
      </c>
      <c r="B110" s="3" t="s">
        <v>387</v>
      </c>
      <c r="C110" s="3" t="s">
        <v>383</v>
      </c>
      <c r="D110" t="s">
        <v>462</v>
      </c>
      <c r="E110">
        <v>121.7</v>
      </c>
      <c r="F110">
        <v>80.8</v>
      </c>
      <c r="G110">
        <v>58.915675999999998</v>
      </c>
      <c r="H110">
        <v>90.305428000000006</v>
      </c>
      <c r="I110">
        <v>42.678787</v>
      </c>
      <c r="J110">
        <v>20.628119000000002</v>
      </c>
    </row>
    <row r="111" spans="1:10" x14ac:dyDescent="0.25">
      <c r="A111">
        <v>110</v>
      </c>
      <c r="B111" s="3" t="s">
        <v>387</v>
      </c>
      <c r="C111" s="3" t="s">
        <v>383</v>
      </c>
      <c r="D111" t="s">
        <v>463</v>
      </c>
      <c r="E111">
        <v>103.3</v>
      </c>
      <c r="F111">
        <v>52.3</v>
      </c>
      <c r="G111">
        <v>116.42720799999999</v>
      </c>
      <c r="H111">
        <v>132.348816</v>
      </c>
      <c r="I111">
        <v>46.344996999999999</v>
      </c>
      <c r="J111">
        <v>12.123822000000001</v>
      </c>
    </row>
    <row r="112" spans="1:10" x14ac:dyDescent="0.25">
      <c r="A112">
        <v>111</v>
      </c>
      <c r="B112" s="3" t="s">
        <v>383</v>
      </c>
      <c r="C112" s="3" t="s">
        <v>368</v>
      </c>
      <c r="D112" t="s">
        <v>463</v>
      </c>
      <c r="E112">
        <v>52.3</v>
      </c>
      <c r="F112">
        <v>142.6</v>
      </c>
      <c r="G112">
        <v>132.348816</v>
      </c>
      <c r="H112">
        <v>64.510406000000003</v>
      </c>
      <c r="I112">
        <v>12.123822000000001</v>
      </c>
      <c r="J112">
        <v>58.307999000000002</v>
      </c>
    </row>
    <row r="113" spans="1:10" x14ac:dyDescent="0.25">
      <c r="A113">
        <v>112</v>
      </c>
      <c r="B113" s="2" t="s">
        <v>368</v>
      </c>
      <c r="C113" s="2" t="s">
        <v>369</v>
      </c>
      <c r="D113" t="s">
        <v>464</v>
      </c>
      <c r="E113">
        <v>116.5</v>
      </c>
      <c r="F113">
        <v>197.1</v>
      </c>
      <c r="G113">
        <v>330.90136699999999</v>
      </c>
      <c r="H113">
        <v>154.23747299999999</v>
      </c>
      <c r="I113">
        <v>40.217948999999997</v>
      </c>
      <c r="J113">
        <v>78.527161000000007</v>
      </c>
    </row>
    <row r="114" spans="1:10" x14ac:dyDescent="0.25">
      <c r="A114">
        <v>113</v>
      </c>
      <c r="B114" s="3" t="s">
        <v>369</v>
      </c>
      <c r="C114" s="3" t="s">
        <v>374</v>
      </c>
      <c r="D114" t="s">
        <v>464</v>
      </c>
      <c r="E114">
        <v>197.1</v>
      </c>
      <c r="F114">
        <v>183.1</v>
      </c>
      <c r="G114">
        <v>154.23747299999999</v>
      </c>
      <c r="H114">
        <v>68.150215000000003</v>
      </c>
      <c r="I114">
        <v>78.527161000000007</v>
      </c>
      <c r="J114">
        <v>82.529708999999997</v>
      </c>
    </row>
    <row r="115" spans="1:10" x14ac:dyDescent="0.25">
      <c r="A115">
        <v>114</v>
      </c>
      <c r="B115" s="3" t="s">
        <v>368</v>
      </c>
      <c r="C115" s="3" t="s">
        <v>369</v>
      </c>
      <c r="D115" t="s">
        <v>465</v>
      </c>
      <c r="E115">
        <v>145</v>
      </c>
      <c r="F115">
        <v>246.2</v>
      </c>
      <c r="G115">
        <v>51.461089999999999</v>
      </c>
      <c r="H115">
        <v>162.857101</v>
      </c>
      <c r="I115">
        <v>64.070335</v>
      </c>
      <c r="J115">
        <v>35.834358000000002</v>
      </c>
    </row>
    <row r="116" spans="1:10" x14ac:dyDescent="0.25">
      <c r="A116">
        <v>115</v>
      </c>
      <c r="B116" s="2" t="s">
        <v>369</v>
      </c>
      <c r="C116" s="2" t="s">
        <v>368</v>
      </c>
      <c r="D116" t="s">
        <v>466</v>
      </c>
      <c r="E116">
        <v>135.1</v>
      </c>
      <c r="F116">
        <v>96.3</v>
      </c>
      <c r="G116">
        <v>65.998221999999998</v>
      </c>
      <c r="H116">
        <v>57.396957</v>
      </c>
      <c r="I116">
        <v>62.275996999999997</v>
      </c>
      <c r="J116">
        <v>20.355267999999999</v>
      </c>
    </row>
    <row r="117" spans="1:10" x14ac:dyDescent="0.25">
      <c r="A117">
        <v>116</v>
      </c>
      <c r="B117" s="2" t="s">
        <v>369</v>
      </c>
      <c r="C117" s="2" t="s">
        <v>383</v>
      </c>
      <c r="D117" t="s">
        <v>467</v>
      </c>
      <c r="E117">
        <v>227.4</v>
      </c>
      <c r="F117">
        <v>19.7</v>
      </c>
      <c r="G117">
        <v>282.90090900000001</v>
      </c>
      <c r="H117">
        <v>178.02557400000001</v>
      </c>
      <c r="I117">
        <v>55.203949000000001</v>
      </c>
      <c r="J117">
        <v>-1.1023959999999999</v>
      </c>
    </row>
    <row r="118" spans="1:10" x14ac:dyDescent="0.25">
      <c r="A118">
        <v>117</v>
      </c>
      <c r="B118" s="2" t="s">
        <v>387</v>
      </c>
      <c r="C118" s="2" t="s">
        <v>383</v>
      </c>
      <c r="D118" t="s">
        <v>468</v>
      </c>
      <c r="E118">
        <v>95.5</v>
      </c>
      <c r="F118">
        <v>33.5</v>
      </c>
      <c r="G118">
        <v>156.25235000000001</v>
      </c>
      <c r="H118">
        <v>175.992493</v>
      </c>
      <c r="I118">
        <v>45.123955000000002</v>
      </c>
      <c r="J118">
        <v>4.8717649999999999</v>
      </c>
    </row>
    <row r="119" spans="1:10" x14ac:dyDescent="0.25">
      <c r="A119">
        <v>118</v>
      </c>
      <c r="B119" s="2" t="s">
        <v>387</v>
      </c>
      <c r="C119" s="2" t="s">
        <v>383</v>
      </c>
      <c r="D119" t="s">
        <v>469</v>
      </c>
      <c r="E119">
        <v>98.2</v>
      </c>
      <c r="F119">
        <v>40.200000000000003</v>
      </c>
      <c r="G119">
        <v>178.92363</v>
      </c>
      <c r="H119">
        <v>198.46670499999999</v>
      </c>
      <c r="I119">
        <v>45.820740000000001</v>
      </c>
      <c r="J119">
        <v>12.337120000000001</v>
      </c>
    </row>
    <row r="120" spans="1:10" x14ac:dyDescent="0.25">
      <c r="A120">
        <v>119</v>
      </c>
      <c r="B120" s="3" t="s">
        <v>383</v>
      </c>
      <c r="C120" s="3" t="s">
        <v>387</v>
      </c>
      <c r="D120" t="s">
        <v>470</v>
      </c>
      <c r="E120">
        <v>58.3</v>
      </c>
      <c r="F120">
        <v>106.5</v>
      </c>
      <c r="G120">
        <v>186.40415999999999</v>
      </c>
      <c r="H120">
        <v>160.32730100000001</v>
      </c>
      <c r="I120">
        <v>15.304228999999999</v>
      </c>
      <c r="J120">
        <v>42.386307000000002</v>
      </c>
    </row>
    <row r="121" spans="1:10" x14ac:dyDescent="0.25">
      <c r="A121">
        <v>120</v>
      </c>
      <c r="B121" s="3" t="s">
        <v>387</v>
      </c>
      <c r="C121" s="3" t="s">
        <v>374</v>
      </c>
      <c r="D121" t="s">
        <v>470</v>
      </c>
      <c r="E121">
        <v>106.5</v>
      </c>
      <c r="F121">
        <v>183.7</v>
      </c>
      <c r="G121">
        <v>160.32730100000001</v>
      </c>
      <c r="H121">
        <v>36.439117000000003</v>
      </c>
      <c r="I121">
        <v>42.386307000000002</v>
      </c>
      <c r="J121">
        <v>73.172966000000002</v>
      </c>
    </row>
    <row r="122" spans="1:10" x14ac:dyDescent="0.25">
      <c r="A122">
        <v>121</v>
      </c>
      <c r="B122" s="2" t="s">
        <v>374</v>
      </c>
      <c r="C122" s="2" t="s">
        <v>368</v>
      </c>
      <c r="D122" t="s">
        <v>470</v>
      </c>
      <c r="E122">
        <v>183.7</v>
      </c>
      <c r="F122">
        <v>139</v>
      </c>
      <c r="G122">
        <v>36.439117000000003</v>
      </c>
      <c r="H122">
        <v>118.028069</v>
      </c>
      <c r="I122">
        <v>73.172966000000002</v>
      </c>
      <c r="J122">
        <v>51.477077000000001</v>
      </c>
    </row>
    <row r="123" spans="1:10" x14ac:dyDescent="0.25">
      <c r="A123">
        <v>122</v>
      </c>
      <c r="B123" s="3" t="s">
        <v>372</v>
      </c>
      <c r="C123" s="3" t="s">
        <v>371</v>
      </c>
      <c r="D123" t="s">
        <v>471</v>
      </c>
      <c r="E123">
        <v>195.4</v>
      </c>
      <c r="F123">
        <v>227</v>
      </c>
      <c r="G123">
        <v>246.38763399999999</v>
      </c>
      <c r="H123">
        <v>186.043961</v>
      </c>
      <c r="I123">
        <v>58.414245999999999</v>
      </c>
      <c r="J123">
        <v>55.810547</v>
      </c>
    </row>
    <row r="124" spans="1:10" x14ac:dyDescent="0.25">
      <c r="A124">
        <v>123</v>
      </c>
      <c r="B124" s="3" t="s">
        <v>423</v>
      </c>
      <c r="C124" s="3" t="s">
        <v>383</v>
      </c>
      <c r="D124" t="s">
        <v>472</v>
      </c>
      <c r="E124">
        <v>162.1</v>
      </c>
      <c r="F124">
        <v>78.900000000000006</v>
      </c>
      <c r="G124">
        <v>49.376282000000003</v>
      </c>
      <c r="H124">
        <v>93.855293000000003</v>
      </c>
      <c r="I124">
        <v>77.152923999999999</v>
      </c>
      <c r="J124">
        <v>15.486354</v>
      </c>
    </row>
    <row r="125" spans="1:10" x14ac:dyDescent="0.25">
      <c r="A125">
        <v>124</v>
      </c>
      <c r="B125" s="3" t="s">
        <v>383</v>
      </c>
      <c r="C125" s="3" t="s">
        <v>374</v>
      </c>
      <c r="D125" t="s">
        <v>472</v>
      </c>
      <c r="E125">
        <v>78.900000000000006</v>
      </c>
      <c r="F125">
        <v>157.30000000000001</v>
      </c>
      <c r="G125">
        <v>93.855293000000003</v>
      </c>
      <c r="H125">
        <v>22.784962</v>
      </c>
      <c r="I125">
        <v>15.486354</v>
      </c>
      <c r="J125">
        <v>62.112492000000003</v>
      </c>
    </row>
    <row r="126" spans="1:10" x14ac:dyDescent="0.25">
      <c r="A126">
        <v>125</v>
      </c>
      <c r="B126" s="3" t="s">
        <v>374</v>
      </c>
      <c r="C126" s="3" t="s">
        <v>387</v>
      </c>
      <c r="D126" t="s">
        <v>472</v>
      </c>
      <c r="E126">
        <v>157.30000000000001</v>
      </c>
      <c r="F126">
        <v>108.2</v>
      </c>
      <c r="G126">
        <v>22.784962</v>
      </c>
      <c r="H126">
        <v>73.082687000000007</v>
      </c>
      <c r="I126">
        <v>62.112492000000003</v>
      </c>
      <c r="J126">
        <v>32.748610999999997</v>
      </c>
    </row>
    <row r="127" spans="1:10" x14ac:dyDescent="0.25">
      <c r="A127">
        <v>126</v>
      </c>
      <c r="B127" s="3" t="s">
        <v>387</v>
      </c>
      <c r="C127" s="3" t="s">
        <v>369</v>
      </c>
      <c r="D127" t="s">
        <v>472</v>
      </c>
      <c r="E127">
        <v>108.2</v>
      </c>
      <c r="F127">
        <v>164.9</v>
      </c>
      <c r="G127">
        <v>73.082687000000007</v>
      </c>
      <c r="H127">
        <v>7.8734080000000004</v>
      </c>
      <c r="I127">
        <v>32.748610999999997</v>
      </c>
      <c r="J127">
        <v>63.824955000000003</v>
      </c>
    </row>
    <row r="128" spans="1:10" x14ac:dyDescent="0.25">
      <c r="A128">
        <v>127</v>
      </c>
      <c r="B128" s="3" t="s">
        <v>369</v>
      </c>
      <c r="C128" s="3" t="s">
        <v>368</v>
      </c>
      <c r="D128" t="s">
        <v>473</v>
      </c>
      <c r="E128">
        <v>170.2</v>
      </c>
      <c r="F128">
        <v>101.5</v>
      </c>
      <c r="G128">
        <v>145.051559</v>
      </c>
      <c r="H128">
        <v>102.592232</v>
      </c>
      <c r="I128">
        <v>80.215209999999999</v>
      </c>
      <c r="J128">
        <v>31.550118999999999</v>
      </c>
    </row>
    <row r="129" spans="1:10" x14ac:dyDescent="0.25">
      <c r="A129">
        <v>128</v>
      </c>
      <c r="B129" s="3" t="s">
        <v>368</v>
      </c>
      <c r="C129" s="3" t="s">
        <v>383</v>
      </c>
      <c r="D129" t="s">
        <v>473</v>
      </c>
      <c r="E129">
        <v>101.5</v>
      </c>
      <c r="F129">
        <v>45.5</v>
      </c>
      <c r="G129">
        <v>102.592232</v>
      </c>
      <c r="H129">
        <v>136.784424</v>
      </c>
      <c r="I129">
        <v>31.550118999999999</v>
      </c>
      <c r="J129">
        <v>-5.4579639999999996</v>
      </c>
    </row>
    <row r="130" spans="1:10" x14ac:dyDescent="0.25">
      <c r="A130">
        <v>129</v>
      </c>
      <c r="B130" s="3" t="s">
        <v>369</v>
      </c>
      <c r="C130" s="3" t="s">
        <v>368</v>
      </c>
      <c r="D130" t="s">
        <v>474</v>
      </c>
      <c r="E130">
        <v>250.2</v>
      </c>
      <c r="F130">
        <v>97.1</v>
      </c>
      <c r="G130">
        <v>257.437164</v>
      </c>
      <c r="H130">
        <v>152.395477</v>
      </c>
      <c r="I130">
        <v>43.451405000000001</v>
      </c>
      <c r="J130">
        <v>47.968769000000002</v>
      </c>
    </row>
    <row r="131" spans="1:10" x14ac:dyDescent="0.25">
      <c r="A131">
        <v>130</v>
      </c>
      <c r="B131" s="3" t="s">
        <v>423</v>
      </c>
      <c r="C131" s="3" t="s">
        <v>387</v>
      </c>
      <c r="D131" t="s">
        <v>475</v>
      </c>
      <c r="E131">
        <v>163</v>
      </c>
      <c r="F131">
        <v>111.9</v>
      </c>
      <c r="G131">
        <v>81.721985000000004</v>
      </c>
      <c r="H131">
        <v>118.054214</v>
      </c>
      <c r="I131">
        <v>75.173347000000007</v>
      </c>
      <c r="J131">
        <v>34.852718000000003</v>
      </c>
    </row>
    <row r="132" spans="1:10" x14ac:dyDescent="0.25">
      <c r="A132">
        <v>131</v>
      </c>
      <c r="B132" s="3" t="s">
        <v>383</v>
      </c>
      <c r="C132" s="3" t="s">
        <v>387</v>
      </c>
      <c r="D132" t="s">
        <v>476</v>
      </c>
      <c r="E132">
        <v>29.5</v>
      </c>
      <c r="F132">
        <v>99.7</v>
      </c>
      <c r="G132">
        <v>198.799789</v>
      </c>
      <c r="H132">
        <v>181.07879600000001</v>
      </c>
      <c r="I132">
        <v>9.9521409999999992</v>
      </c>
      <c r="J132">
        <v>49.504306999999997</v>
      </c>
    </row>
    <row r="133" spans="1:10" x14ac:dyDescent="0.25">
      <c r="A133">
        <v>132</v>
      </c>
      <c r="B133" s="3" t="s">
        <v>387</v>
      </c>
      <c r="C133" s="3" t="s">
        <v>368</v>
      </c>
      <c r="D133" t="s">
        <v>476</v>
      </c>
      <c r="E133">
        <v>99.7</v>
      </c>
      <c r="F133">
        <v>151.80000000000001</v>
      </c>
      <c r="G133">
        <v>181.07879600000001</v>
      </c>
      <c r="H133">
        <v>103.190887</v>
      </c>
      <c r="I133">
        <v>49.504306999999997</v>
      </c>
      <c r="J133">
        <v>64.482437000000004</v>
      </c>
    </row>
    <row r="134" spans="1:10" x14ac:dyDescent="0.25">
      <c r="A134">
        <v>133</v>
      </c>
      <c r="B134" s="3" t="s">
        <v>368</v>
      </c>
      <c r="C134" s="3" t="s">
        <v>374</v>
      </c>
      <c r="D134" t="s">
        <v>476</v>
      </c>
      <c r="E134">
        <v>151.80000000000001</v>
      </c>
      <c r="F134">
        <v>210</v>
      </c>
      <c r="G134">
        <v>103.190887</v>
      </c>
      <c r="H134">
        <v>338.58062699999999</v>
      </c>
      <c r="I134">
        <v>64.482437000000004</v>
      </c>
      <c r="J134">
        <v>60.068657000000002</v>
      </c>
    </row>
    <row r="135" spans="1:10" x14ac:dyDescent="0.25">
      <c r="A135">
        <v>134</v>
      </c>
      <c r="B135" s="3" t="s">
        <v>374</v>
      </c>
      <c r="C135" s="3" t="s">
        <v>369</v>
      </c>
      <c r="D135" t="s">
        <v>476</v>
      </c>
      <c r="E135">
        <v>210</v>
      </c>
      <c r="F135">
        <v>211.7</v>
      </c>
      <c r="G135">
        <v>338.58062699999999</v>
      </c>
      <c r="H135">
        <v>340.39376800000002</v>
      </c>
      <c r="I135">
        <v>60.068657000000002</v>
      </c>
      <c r="J135">
        <v>56.204681000000001</v>
      </c>
    </row>
    <row r="136" spans="1:10" x14ac:dyDescent="0.25">
      <c r="A136">
        <v>135</v>
      </c>
      <c r="B136" s="3" t="s">
        <v>369</v>
      </c>
      <c r="C136" s="3" t="s">
        <v>427</v>
      </c>
      <c r="D136" t="s">
        <v>476</v>
      </c>
      <c r="E136">
        <v>211.7</v>
      </c>
      <c r="F136">
        <v>243.7</v>
      </c>
      <c r="G136">
        <v>340.39376800000002</v>
      </c>
      <c r="H136">
        <v>295.69570900000002</v>
      </c>
      <c r="I136">
        <v>56.204681000000001</v>
      </c>
      <c r="J136">
        <v>46.132174999999997</v>
      </c>
    </row>
    <row r="137" spans="1:10" x14ac:dyDescent="0.25">
      <c r="A137">
        <v>136</v>
      </c>
      <c r="B137" s="2" t="s">
        <v>369</v>
      </c>
      <c r="C137" s="2" t="s">
        <v>383</v>
      </c>
      <c r="D137" t="s">
        <v>477</v>
      </c>
      <c r="E137">
        <v>191.4</v>
      </c>
      <c r="F137">
        <v>37</v>
      </c>
      <c r="G137">
        <v>175.602859</v>
      </c>
      <c r="H137">
        <v>121.656128</v>
      </c>
      <c r="I137">
        <v>76.141518000000005</v>
      </c>
      <c r="J137">
        <v>-8.5957469999999994</v>
      </c>
    </row>
    <row r="138" spans="1:10" x14ac:dyDescent="0.25">
      <c r="A138">
        <v>137</v>
      </c>
      <c r="B138" s="2" t="s">
        <v>387</v>
      </c>
      <c r="C138" s="2" t="s">
        <v>383</v>
      </c>
      <c r="D138" t="s">
        <v>478</v>
      </c>
      <c r="E138">
        <v>147.5</v>
      </c>
      <c r="F138">
        <v>25.7</v>
      </c>
      <c r="G138">
        <v>55.086094000000003</v>
      </c>
      <c r="H138">
        <v>87.025229999999993</v>
      </c>
      <c r="I138">
        <v>69.944237000000001</v>
      </c>
      <c r="J138">
        <v>13.739800000000001</v>
      </c>
    </row>
    <row r="139" spans="1:10" x14ac:dyDescent="0.25">
      <c r="A139">
        <v>138</v>
      </c>
      <c r="B139" s="3" t="s">
        <v>383</v>
      </c>
      <c r="C139" s="3" t="s">
        <v>374</v>
      </c>
      <c r="D139" t="s">
        <v>479</v>
      </c>
      <c r="E139">
        <v>51.2</v>
      </c>
      <c r="F139">
        <v>192.9</v>
      </c>
      <c r="G139">
        <v>93.795387000000005</v>
      </c>
      <c r="H139">
        <v>280.34463499999998</v>
      </c>
      <c r="I139">
        <v>11.512703999999999</v>
      </c>
      <c r="J139">
        <v>67.811417000000006</v>
      </c>
    </row>
    <row r="140" spans="1:10" x14ac:dyDescent="0.25">
      <c r="A140">
        <v>139</v>
      </c>
      <c r="B140" s="3" t="s">
        <v>374</v>
      </c>
      <c r="C140" s="3" t="s">
        <v>369</v>
      </c>
      <c r="D140" t="s">
        <v>479</v>
      </c>
      <c r="E140">
        <v>192.9</v>
      </c>
      <c r="F140">
        <v>201.8</v>
      </c>
      <c r="G140">
        <v>280.34463499999998</v>
      </c>
      <c r="H140">
        <v>266.76806599999998</v>
      </c>
      <c r="I140">
        <v>67.811417000000006</v>
      </c>
      <c r="J140">
        <v>61.561138</v>
      </c>
    </row>
    <row r="141" spans="1:10" x14ac:dyDescent="0.25">
      <c r="A141">
        <v>140</v>
      </c>
      <c r="B141" s="2" t="s">
        <v>387</v>
      </c>
      <c r="C141" s="2" t="s">
        <v>368</v>
      </c>
      <c r="D141" t="s">
        <v>480</v>
      </c>
      <c r="E141">
        <v>105.6</v>
      </c>
      <c r="F141">
        <v>143.80000000000001</v>
      </c>
      <c r="G141">
        <v>140.41429099999999</v>
      </c>
      <c r="H141">
        <v>86.801017999999999</v>
      </c>
      <c r="I141">
        <v>47.264750999999997</v>
      </c>
      <c r="J141">
        <v>58.046036000000001</v>
      </c>
    </row>
    <row r="142" spans="1:10" x14ac:dyDescent="0.25">
      <c r="A142">
        <v>141</v>
      </c>
      <c r="B142" s="3" t="s">
        <v>387</v>
      </c>
      <c r="C142" s="3" t="s">
        <v>374</v>
      </c>
      <c r="D142" t="s">
        <v>481</v>
      </c>
      <c r="E142">
        <v>98</v>
      </c>
      <c r="F142">
        <v>174.7</v>
      </c>
      <c r="G142">
        <v>151.35217299999999</v>
      </c>
      <c r="H142">
        <v>54.268517000000003</v>
      </c>
      <c r="I142">
        <v>34.338813999999999</v>
      </c>
      <c r="J142">
        <v>74.667473000000001</v>
      </c>
    </row>
    <row r="143" spans="1:10" x14ac:dyDescent="0.25">
      <c r="A143">
        <v>142</v>
      </c>
      <c r="B143" s="3" t="s">
        <v>374</v>
      </c>
      <c r="C143" s="3" t="s">
        <v>368</v>
      </c>
      <c r="D143" t="s">
        <v>481</v>
      </c>
      <c r="E143">
        <v>174.7</v>
      </c>
      <c r="F143">
        <v>130.4</v>
      </c>
      <c r="G143">
        <v>54.268517000000003</v>
      </c>
      <c r="H143">
        <v>117.695015</v>
      </c>
      <c r="I143">
        <v>74.667473000000001</v>
      </c>
      <c r="J143">
        <v>46.550185999999997</v>
      </c>
    </row>
    <row r="144" spans="1:10" x14ac:dyDescent="0.25">
      <c r="A144">
        <v>143</v>
      </c>
      <c r="B144" s="3" t="s">
        <v>368</v>
      </c>
      <c r="C144" s="3" t="s">
        <v>383</v>
      </c>
      <c r="D144" t="s">
        <v>481</v>
      </c>
      <c r="E144">
        <v>130.4</v>
      </c>
      <c r="F144">
        <v>59.5</v>
      </c>
      <c r="G144">
        <v>117.695015</v>
      </c>
      <c r="H144">
        <v>172.98629800000001</v>
      </c>
      <c r="I144">
        <v>46.550185999999997</v>
      </c>
      <c r="J144">
        <v>10.640836</v>
      </c>
    </row>
    <row r="145" spans="1:10" x14ac:dyDescent="0.25">
      <c r="A145">
        <v>144</v>
      </c>
      <c r="B145" s="3" t="s">
        <v>383</v>
      </c>
      <c r="C145" s="3" t="s">
        <v>371</v>
      </c>
      <c r="D145" t="s">
        <v>482</v>
      </c>
      <c r="E145">
        <v>59.5</v>
      </c>
      <c r="F145">
        <v>256</v>
      </c>
      <c r="G145">
        <v>172.98629800000001</v>
      </c>
      <c r="H145">
        <v>283.45669600000002</v>
      </c>
      <c r="I145">
        <v>10.640836</v>
      </c>
      <c r="J145">
        <v>42.861781999999998</v>
      </c>
    </row>
    <row r="146" spans="1:10" x14ac:dyDescent="0.25">
      <c r="A146">
        <v>145</v>
      </c>
      <c r="B146" s="3" t="s">
        <v>374</v>
      </c>
      <c r="C146" s="3" t="s">
        <v>368</v>
      </c>
      <c r="D146" t="s">
        <v>483</v>
      </c>
      <c r="E146">
        <v>176.8</v>
      </c>
      <c r="F146">
        <v>129.9</v>
      </c>
      <c r="G146">
        <v>49.871284000000003</v>
      </c>
      <c r="H146">
        <v>118.404083</v>
      </c>
      <c r="I146">
        <v>74.354088000000004</v>
      </c>
      <c r="J146">
        <v>44.835208999999999</v>
      </c>
    </row>
    <row r="147" spans="1:10" x14ac:dyDescent="0.25">
      <c r="A147">
        <v>146</v>
      </c>
      <c r="B147" s="3" t="s">
        <v>368</v>
      </c>
      <c r="C147" s="3" t="s">
        <v>383</v>
      </c>
      <c r="D147" t="s">
        <v>483</v>
      </c>
      <c r="E147">
        <v>129.9</v>
      </c>
      <c r="F147">
        <v>56.1</v>
      </c>
      <c r="G147">
        <v>118.404083</v>
      </c>
      <c r="H147">
        <v>176.053436</v>
      </c>
      <c r="I147">
        <v>44.835208999999999</v>
      </c>
      <c r="J147">
        <v>6.4666119999999996</v>
      </c>
    </row>
    <row r="148" spans="1:10" x14ac:dyDescent="0.25">
      <c r="A148">
        <v>147</v>
      </c>
      <c r="B148" s="3" t="s">
        <v>484</v>
      </c>
      <c r="C148" s="3" t="s">
        <v>368</v>
      </c>
      <c r="D148" t="s">
        <v>485</v>
      </c>
      <c r="E148">
        <v>235.6</v>
      </c>
      <c r="F148">
        <v>98.3</v>
      </c>
      <c r="G148">
        <v>139.69416799999999</v>
      </c>
      <c r="H148">
        <v>10.511487000000001</v>
      </c>
      <c r="I148">
        <v>55.879021000000002</v>
      </c>
      <c r="J148">
        <v>36.452300999999999</v>
      </c>
    </row>
    <row r="149" spans="1:10" x14ac:dyDescent="0.25">
      <c r="A149">
        <v>148</v>
      </c>
      <c r="B149" s="3" t="s">
        <v>368</v>
      </c>
      <c r="C149" s="3" t="s">
        <v>369</v>
      </c>
      <c r="D149" t="s">
        <v>485</v>
      </c>
      <c r="E149">
        <v>98.3</v>
      </c>
      <c r="F149">
        <v>240.6</v>
      </c>
      <c r="G149">
        <v>10.511487000000001</v>
      </c>
      <c r="H149">
        <v>139.46470600000001</v>
      </c>
      <c r="I149">
        <v>36.452300999999999</v>
      </c>
      <c r="J149">
        <v>52.431671000000001</v>
      </c>
    </row>
    <row r="150" spans="1:10" x14ac:dyDescent="0.25">
      <c r="A150">
        <v>149</v>
      </c>
      <c r="B150" s="3" t="s">
        <v>368</v>
      </c>
      <c r="C150" s="3" t="s">
        <v>369</v>
      </c>
      <c r="D150" t="s">
        <v>486</v>
      </c>
      <c r="E150">
        <v>124.5</v>
      </c>
      <c r="F150">
        <v>231.9</v>
      </c>
      <c r="G150">
        <v>59.253180999999998</v>
      </c>
      <c r="H150">
        <v>202.948746</v>
      </c>
      <c r="I150">
        <v>56.971145999999997</v>
      </c>
      <c r="J150">
        <v>53.915184000000004</v>
      </c>
    </row>
    <row r="151" spans="1:10" x14ac:dyDescent="0.25">
      <c r="A151">
        <v>150</v>
      </c>
      <c r="B151" s="2" t="s">
        <v>368</v>
      </c>
      <c r="C151" s="2" t="s">
        <v>369</v>
      </c>
      <c r="D151" t="s">
        <v>487</v>
      </c>
      <c r="E151">
        <v>137.69999999999999</v>
      </c>
      <c r="F151">
        <v>226.8</v>
      </c>
      <c r="G151">
        <v>96.104812999999993</v>
      </c>
      <c r="H151">
        <v>306.95074499999998</v>
      </c>
      <c r="I151">
        <v>54.109431999999998</v>
      </c>
      <c r="J151">
        <v>45.630504999999999</v>
      </c>
    </row>
    <row r="152" spans="1:10" x14ac:dyDescent="0.25">
      <c r="A152">
        <v>151</v>
      </c>
      <c r="B152" s="3" t="s">
        <v>484</v>
      </c>
      <c r="C152" s="3" t="s">
        <v>371</v>
      </c>
      <c r="D152" t="s">
        <v>488</v>
      </c>
      <c r="E152">
        <v>241.3</v>
      </c>
      <c r="F152">
        <v>284.5</v>
      </c>
      <c r="G152">
        <v>271.92266799999999</v>
      </c>
      <c r="H152">
        <v>239.51312300000001</v>
      </c>
      <c r="I152">
        <v>51.751755000000003</v>
      </c>
      <c r="J152">
        <v>40.103382000000003</v>
      </c>
    </row>
    <row r="153" spans="1:10" x14ac:dyDescent="0.25">
      <c r="A153">
        <v>152</v>
      </c>
      <c r="B153" s="3" t="s">
        <v>372</v>
      </c>
      <c r="C153" s="3" t="s">
        <v>371</v>
      </c>
      <c r="D153" t="s">
        <v>489</v>
      </c>
      <c r="E153">
        <v>192.1</v>
      </c>
      <c r="F153">
        <v>221.8</v>
      </c>
      <c r="G153">
        <v>17.060734</v>
      </c>
      <c r="H153">
        <v>300.77780200000001</v>
      </c>
      <c r="I153">
        <v>65.922989000000001</v>
      </c>
      <c r="J153">
        <v>63.948605000000001</v>
      </c>
    </row>
    <row r="154" spans="1:10" x14ac:dyDescent="0.25">
      <c r="A154">
        <v>153</v>
      </c>
      <c r="B154" s="2" t="s">
        <v>372</v>
      </c>
      <c r="C154" s="2" t="s">
        <v>371</v>
      </c>
      <c r="D154" t="s">
        <v>490</v>
      </c>
      <c r="E154">
        <v>204.2</v>
      </c>
      <c r="F154">
        <v>242.4</v>
      </c>
      <c r="G154">
        <v>307.84530599999999</v>
      </c>
      <c r="H154">
        <v>256.015289</v>
      </c>
      <c r="I154">
        <v>61.129204000000001</v>
      </c>
      <c r="J154">
        <v>46.434939999999997</v>
      </c>
    </row>
    <row r="155" spans="1:10" x14ac:dyDescent="0.25">
      <c r="A155">
        <v>154</v>
      </c>
      <c r="B155" s="3" t="s">
        <v>383</v>
      </c>
      <c r="C155" s="3" t="s">
        <v>368</v>
      </c>
      <c r="D155" t="s">
        <v>491</v>
      </c>
      <c r="E155">
        <v>43.4</v>
      </c>
      <c r="F155">
        <v>129.19999999999999</v>
      </c>
      <c r="G155">
        <v>151.874664</v>
      </c>
      <c r="H155">
        <v>92.171204000000003</v>
      </c>
      <c r="I155">
        <v>4.6190090000000001</v>
      </c>
      <c r="J155">
        <v>49.985294000000003</v>
      </c>
    </row>
    <row r="156" spans="1:10" x14ac:dyDescent="0.25">
      <c r="A156">
        <v>155</v>
      </c>
      <c r="B156" s="3" t="s">
        <v>484</v>
      </c>
      <c r="C156" s="3" t="s">
        <v>368</v>
      </c>
      <c r="D156" t="s">
        <v>492</v>
      </c>
      <c r="E156">
        <v>259.10000000000002</v>
      </c>
      <c r="F156">
        <v>80.900000000000006</v>
      </c>
      <c r="G156">
        <v>245.167068</v>
      </c>
      <c r="H156">
        <v>144.50576799999999</v>
      </c>
      <c r="I156">
        <v>45.289501000000001</v>
      </c>
      <c r="J156">
        <v>29.196038999999999</v>
      </c>
    </row>
    <row r="157" spans="1:10" x14ac:dyDescent="0.25">
      <c r="A157">
        <v>156</v>
      </c>
      <c r="B157" s="3" t="s">
        <v>368</v>
      </c>
      <c r="C157" s="3" t="s">
        <v>383</v>
      </c>
      <c r="D157" t="s">
        <v>492</v>
      </c>
      <c r="E157">
        <v>80.900000000000006</v>
      </c>
      <c r="F157">
        <v>21</v>
      </c>
      <c r="G157">
        <v>144.50576799999999</v>
      </c>
      <c r="H157">
        <v>176.111481</v>
      </c>
      <c r="I157">
        <v>29.196038999999999</v>
      </c>
      <c r="J157">
        <v>-14.267792999999999</v>
      </c>
    </row>
    <row r="158" spans="1:10" x14ac:dyDescent="0.25">
      <c r="A158">
        <v>157</v>
      </c>
      <c r="B158" s="2" t="s">
        <v>372</v>
      </c>
      <c r="C158" s="2" t="s">
        <v>371</v>
      </c>
      <c r="D158" t="s">
        <v>493</v>
      </c>
      <c r="E158">
        <v>232.6</v>
      </c>
      <c r="F158">
        <v>266.2</v>
      </c>
      <c r="G158">
        <v>224.29063400000001</v>
      </c>
      <c r="H158">
        <v>196.39932300000001</v>
      </c>
      <c r="I158">
        <v>43.468395000000001</v>
      </c>
      <c r="J158">
        <v>24.587468999999999</v>
      </c>
    </row>
    <row r="159" spans="1:10" x14ac:dyDescent="0.25">
      <c r="A159">
        <v>158</v>
      </c>
      <c r="B159" s="2" t="s">
        <v>368</v>
      </c>
      <c r="C159" s="2" t="s">
        <v>484</v>
      </c>
      <c r="D159" t="s">
        <v>494</v>
      </c>
      <c r="E159">
        <v>151.30000000000001</v>
      </c>
      <c r="F159">
        <v>240.5</v>
      </c>
      <c r="G159">
        <v>145.10578899999999</v>
      </c>
      <c r="H159">
        <v>288.60174599999999</v>
      </c>
      <c r="I159">
        <v>72.038207999999997</v>
      </c>
      <c r="J159">
        <v>40.446086999999999</v>
      </c>
    </row>
    <row r="160" spans="1:10" x14ac:dyDescent="0.25">
      <c r="A160">
        <v>159</v>
      </c>
      <c r="B160" s="2" t="s">
        <v>368</v>
      </c>
      <c r="C160" s="2" t="s">
        <v>484</v>
      </c>
      <c r="D160" t="s">
        <v>495</v>
      </c>
      <c r="E160">
        <v>117.7</v>
      </c>
      <c r="F160">
        <v>249.2</v>
      </c>
      <c r="G160">
        <v>167.20208700000001</v>
      </c>
      <c r="H160">
        <v>301.773865</v>
      </c>
      <c r="I160">
        <v>54.563338999999999</v>
      </c>
      <c r="J160">
        <v>36.698405999999999</v>
      </c>
    </row>
    <row r="161" spans="1:10" x14ac:dyDescent="0.25">
      <c r="A161">
        <v>160</v>
      </c>
      <c r="B161" s="2" t="s">
        <v>372</v>
      </c>
      <c r="C161" s="2" t="s">
        <v>371</v>
      </c>
      <c r="D161" t="s">
        <v>496</v>
      </c>
      <c r="E161">
        <v>204.6</v>
      </c>
      <c r="F161">
        <v>249.4</v>
      </c>
      <c r="G161">
        <v>331.10672</v>
      </c>
      <c r="H161">
        <v>271.78332499999999</v>
      </c>
      <c r="I161">
        <v>64.888237000000004</v>
      </c>
      <c r="J161">
        <v>47.192883000000002</v>
      </c>
    </row>
    <row r="162" spans="1:10" x14ac:dyDescent="0.25">
      <c r="A162">
        <v>161</v>
      </c>
      <c r="B162" s="3" t="s">
        <v>484</v>
      </c>
      <c r="C162" s="3" t="s">
        <v>368</v>
      </c>
      <c r="D162" t="s">
        <v>497</v>
      </c>
      <c r="E162">
        <v>268.7</v>
      </c>
      <c r="F162">
        <v>60</v>
      </c>
      <c r="G162">
        <v>117.87648799999999</v>
      </c>
      <c r="H162">
        <v>26.706188000000001</v>
      </c>
      <c r="I162">
        <v>32.382511000000001</v>
      </c>
      <c r="J162">
        <v>28.076763</v>
      </c>
    </row>
    <row r="163" spans="1:10" x14ac:dyDescent="0.25">
      <c r="A163">
        <v>162</v>
      </c>
      <c r="B163" s="2" t="s">
        <v>387</v>
      </c>
      <c r="C163" s="2" t="s">
        <v>368</v>
      </c>
      <c r="D163" t="s">
        <v>498</v>
      </c>
      <c r="E163">
        <v>88.4</v>
      </c>
      <c r="F163">
        <v>146.9</v>
      </c>
      <c r="G163">
        <v>181.43119799999999</v>
      </c>
      <c r="H163">
        <v>116.34126999999999</v>
      </c>
      <c r="I163">
        <v>44.292709000000002</v>
      </c>
      <c r="J163">
        <v>64.373076999999995</v>
      </c>
    </row>
    <row r="164" spans="1:10" x14ac:dyDescent="0.25">
      <c r="A164">
        <v>163</v>
      </c>
      <c r="B164" s="2" t="s">
        <v>368</v>
      </c>
      <c r="C164" s="2" t="s">
        <v>369</v>
      </c>
      <c r="D164" t="s">
        <v>499</v>
      </c>
      <c r="E164">
        <v>158.9</v>
      </c>
      <c r="F164">
        <v>232.8</v>
      </c>
      <c r="G164">
        <v>134.42559800000001</v>
      </c>
      <c r="H164">
        <v>290.76391599999999</v>
      </c>
      <c r="I164">
        <v>76.769058000000001</v>
      </c>
      <c r="J164">
        <v>47.492125999999999</v>
      </c>
    </row>
    <row r="165" spans="1:10" x14ac:dyDescent="0.25">
      <c r="A165">
        <v>164</v>
      </c>
      <c r="B165" s="2" t="s">
        <v>369</v>
      </c>
      <c r="C165" s="2" t="s">
        <v>368</v>
      </c>
      <c r="D165" t="s">
        <v>500</v>
      </c>
      <c r="E165">
        <v>162.4</v>
      </c>
      <c r="F165">
        <v>106.9</v>
      </c>
      <c r="G165">
        <v>113.69074999999999</v>
      </c>
      <c r="H165">
        <v>123.09309399999999</v>
      </c>
      <c r="I165">
        <v>78.624709999999993</v>
      </c>
      <c r="J165">
        <v>31.285791</v>
      </c>
    </row>
    <row r="166" spans="1:10" x14ac:dyDescent="0.25">
      <c r="A166">
        <v>165</v>
      </c>
      <c r="B166" s="2" t="s">
        <v>368</v>
      </c>
      <c r="C166" s="2" t="s">
        <v>484</v>
      </c>
      <c r="D166" t="s">
        <v>501</v>
      </c>
      <c r="E166">
        <v>109</v>
      </c>
      <c r="F166">
        <v>230.4</v>
      </c>
      <c r="G166">
        <v>72.847572</v>
      </c>
      <c r="H166">
        <v>209.803101</v>
      </c>
      <c r="I166">
        <v>45.203494999999997</v>
      </c>
      <c r="J166">
        <v>58.087330000000001</v>
      </c>
    </row>
    <row r="167" spans="1:10" x14ac:dyDescent="0.25">
      <c r="A167">
        <v>166</v>
      </c>
      <c r="B167" s="3" t="s">
        <v>387</v>
      </c>
      <c r="C167" s="3" t="s">
        <v>368</v>
      </c>
      <c r="D167" t="s">
        <v>502</v>
      </c>
      <c r="E167">
        <v>127</v>
      </c>
      <c r="F167">
        <v>149.5</v>
      </c>
      <c r="G167">
        <v>136.62033099999999</v>
      </c>
      <c r="H167">
        <v>87.528441999999998</v>
      </c>
      <c r="I167">
        <v>56.708275</v>
      </c>
      <c r="J167">
        <v>57.389392999999998</v>
      </c>
    </row>
    <row r="168" spans="1:10" x14ac:dyDescent="0.25">
      <c r="A168">
        <v>167</v>
      </c>
      <c r="B168" s="3" t="s">
        <v>368</v>
      </c>
      <c r="C168" s="3" t="s">
        <v>374</v>
      </c>
      <c r="D168" t="s">
        <v>502</v>
      </c>
      <c r="E168">
        <v>149.5</v>
      </c>
      <c r="F168">
        <v>191.2</v>
      </c>
      <c r="G168">
        <v>87.528441999999998</v>
      </c>
      <c r="H168">
        <v>3.8517000000000001</v>
      </c>
      <c r="I168">
        <v>57.389392999999998</v>
      </c>
      <c r="J168">
        <v>66.720618999999999</v>
      </c>
    </row>
    <row r="169" spans="1:10" x14ac:dyDescent="0.25">
      <c r="A169">
        <v>168</v>
      </c>
      <c r="B169" s="3" t="s">
        <v>368</v>
      </c>
      <c r="C169" s="3" t="s">
        <v>369</v>
      </c>
      <c r="D169" t="s">
        <v>503</v>
      </c>
      <c r="E169">
        <v>83.1</v>
      </c>
      <c r="F169">
        <v>262.8</v>
      </c>
      <c r="G169">
        <v>165.97210699999999</v>
      </c>
      <c r="H169">
        <v>276.385651</v>
      </c>
      <c r="I169">
        <v>23.725826000000001</v>
      </c>
      <c r="J169">
        <v>42.352673000000003</v>
      </c>
    </row>
    <row r="170" spans="1:10" x14ac:dyDescent="0.25">
      <c r="A170">
        <v>169</v>
      </c>
      <c r="B170" s="3" t="s">
        <v>374</v>
      </c>
      <c r="C170" s="3" t="s">
        <v>368</v>
      </c>
      <c r="D170" t="s">
        <v>504</v>
      </c>
      <c r="E170">
        <v>231.5</v>
      </c>
      <c r="F170">
        <v>113.3</v>
      </c>
      <c r="G170">
        <v>291.72842400000002</v>
      </c>
      <c r="H170">
        <v>160.15289300000001</v>
      </c>
      <c r="I170">
        <v>59.049926999999997</v>
      </c>
      <c r="J170">
        <v>47.349052</v>
      </c>
    </row>
    <row r="171" spans="1:10" x14ac:dyDescent="0.25">
      <c r="A171">
        <v>170</v>
      </c>
      <c r="B171" s="3" t="s">
        <v>368</v>
      </c>
      <c r="C171" s="3" t="s">
        <v>484</v>
      </c>
      <c r="D171" t="s">
        <v>504</v>
      </c>
      <c r="E171">
        <v>113.3</v>
      </c>
      <c r="F171">
        <v>228.4</v>
      </c>
      <c r="G171">
        <v>160.15289300000001</v>
      </c>
      <c r="H171">
        <v>309.24179099999998</v>
      </c>
      <c r="I171">
        <v>47.349052</v>
      </c>
      <c r="J171">
        <v>57.175037000000003</v>
      </c>
    </row>
    <row r="172" spans="1:10" x14ac:dyDescent="0.25">
      <c r="A172">
        <v>171</v>
      </c>
      <c r="B172" s="3" t="s">
        <v>374</v>
      </c>
      <c r="C172" s="3" t="s">
        <v>368</v>
      </c>
      <c r="D172" t="s">
        <v>505</v>
      </c>
      <c r="E172">
        <v>206</v>
      </c>
      <c r="F172">
        <v>120.2</v>
      </c>
      <c r="G172">
        <v>227.22787500000001</v>
      </c>
      <c r="H172">
        <v>44.890785000000001</v>
      </c>
      <c r="I172">
        <v>72.430580000000006</v>
      </c>
      <c r="J172">
        <v>43.111407999999997</v>
      </c>
    </row>
    <row r="173" spans="1:10" x14ac:dyDescent="0.25">
      <c r="A173">
        <v>172</v>
      </c>
      <c r="B173" s="2" t="s">
        <v>387</v>
      </c>
      <c r="C173" s="2" t="s">
        <v>383</v>
      </c>
      <c r="D173" t="s">
        <v>506</v>
      </c>
      <c r="E173">
        <v>110.2</v>
      </c>
      <c r="F173">
        <v>66.3</v>
      </c>
      <c r="G173">
        <v>90.338570000000004</v>
      </c>
      <c r="H173">
        <v>118.734268</v>
      </c>
      <c r="I173">
        <v>38.506686999999999</v>
      </c>
      <c r="J173">
        <v>12.940296</v>
      </c>
    </row>
    <row r="174" spans="1:10" x14ac:dyDescent="0.25">
      <c r="A174">
        <v>173</v>
      </c>
      <c r="B174" s="3" t="s">
        <v>409</v>
      </c>
      <c r="C174" s="3" t="s">
        <v>410</v>
      </c>
      <c r="D174" t="s">
        <v>507</v>
      </c>
      <c r="E174">
        <v>301.39999999999998</v>
      </c>
      <c r="F174">
        <v>309.3</v>
      </c>
      <c r="G174">
        <v>272.76135299999999</v>
      </c>
      <c r="H174">
        <v>266.35226399999999</v>
      </c>
      <c r="I174">
        <v>2.274349</v>
      </c>
      <c r="J174">
        <v>-0.15251700000000001</v>
      </c>
    </row>
    <row r="175" spans="1:10" x14ac:dyDescent="0.25">
      <c r="A175">
        <v>174</v>
      </c>
      <c r="B175" s="3" t="s">
        <v>368</v>
      </c>
      <c r="C175" s="3" t="s">
        <v>484</v>
      </c>
      <c r="D175" t="s">
        <v>508</v>
      </c>
      <c r="E175">
        <v>108.1</v>
      </c>
      <c r="F175">
        <v>230.3</v>
      </c>
      <c r="G175">
        <v>86.350761000000006</v>
      </c>
      <c r="H175">
        <v>239.870285</v>
      </c>
      <c r="I175">
        <v>41.414538999999998</v>
      </c>
      <c r="J175">
        <v>55.147838999999998</v>
      </c>
    </row>
    <row r="176" spans="1:10" x14ac:dyDescent="0.25">
      <c r="A176">
        <v>175</v>
      </c>
      <c r="B176" s="3" t="s">
        <v>383</v>
      </c>
      <c r="C176" s="3" t="s">
        <v>387</v>
      </c>
      <c r="D176" t="s">
        <v>509</v>
      </c>
      <c r="E176">
        <v>59.2</v>
      </c>
      <c r="F176">
        <v>100</v>
      </c>
      <c r="G176">
        <v>116.654831</v>
      </c>
      <c r="H176">
        <v>93.181472999999997</v>
      </c>
      <c r="I176">
        <v>9.7051639999999999</v>
      </c>
      <c r="J176">
        <v>34.783290999999998</v>
      </c>
    </row>
    <row r="177" spans="1:10" x14ac:dyDescent="0.25">
      <c r="A177">
        <v>176</v>
      </c>
      <c r="B177" s="3" t="s">
        <v>387</v>
      </c>
      <c r="C177" s="3" t="s">
        <v>374</v>
      </c>
      <c r="D177" t="s">
        <v>509</v>
      </c>
      <c r="E177">
        <v>100</v>
      </c>
      <c r="F177">
        <v>177.8</v>
      </c>
      <c r="G177">
        <v>93.181472999999997</v>
      </c>
      <c r="H177">
        <v>348.02954099999999</v>
      </c>
      <c r="I177">
        <v>34.783290999999998</v>
      </c>
      <c r="J177">
        <v>71.433989999999994</v>
      </c>
    </row>
    <row r="178" spans="1:10" x14ac:dyDescent="0.25">
      <c r="A178">
        <v>177</v>
      </c>
      <c r="B178" s="3" t="s">
        <v>374</v>
      </c>
      <c r="C178" s="3" t="s">
        <v>368</v>
      </c>
      <c r="D178" t="s">
        <v>509</v>
      </c>
      <c r="E178">
        <v>177.8</v>
      </c>
      <c r="F178">
        <v>133.80000000000001</v>
      </c>
      <c r="G178">
        <v>348.02954099999999</v>
      </c>
      <c r="H178">
        <v>55.469883000000003</v>
      </c>
      <c r="I178">
        <v>71.433989999999994</v>
      </c>
      <c r="J178">
        <v>46.300220000000003</v>
      </c>
    </row>
    <row r="179" spans="1:10" x14ac:dyDescent="0.25">
      <c r="A179">
        <v>178</v>
      </c>
      <c r="B179" s="3" t="s">
        <v>410</v>
      </c>
      <c r="C179" s="3" t="s">
        <v>409</v>
      </c>
      <c r="D179" t="s">
        <v>510</v>
      </c>
      <c r="E179">
        <v>305.3</v>
      </c>
      <c r="F179">
        <v>295.3</v>
      </c>
      <c r="G179">
        <v>147.78447</v>
      </c>
      <c r="H179">
        <v>157.42919900000001</v>
      </c>
      <c r="I179">
        <v>3.9172899999999999</v>
      </c>
      <c r="J179">
        <v>4.8093959999999996</v>
      </c>
    </row>
    <row r="180" spans="1:10" x14ac:dyDescent="0.25">
      <c r="A180">
        <v>179</v>
      </c>
      <c r="B180" s="3" t="s">
        <v>371</v>
      </c>
      <c r="C180" s="3" t="s">
        <v>372</v>
      </c>
      <c r="D180" t="s">
        <v>511</v>
      </c>
      <c r="E180">
        <v>261</v>
      </c>
      <c r="F180">
        <v>212.5</v>
      </c>
      <c r="G180">
        <v>178.042114</v>
      </c>
      <c r="H180">
        <v>232.47389200000001</v>
      </c>
      <c r="I180">
        <v>33.685462999999999</v>
      </c>
      <c r="J180">
        <v>53.465232999999998</v>
      </c>
    </row>
    <row r="181" spans="1:10" x14ac:dyDescent="0.25">
      <c r="A181">
        <v>180</v>
      </c>
      <c r="B181" s="2" t="s">
        <v>368</v>
      </c>
      <c r="C181" s="2" t="s">
        <v>484</v>
      </c>
      <c r="D181" t="s">
        <v>512</v>
      </c>
      <c r="E181">
        <v>82.8</v>
      </c>
      <c r="F181">
        <v>261.8</v>
      </c>
      <c r="G181">
        <v>133.70858799999999</v>
      </c>
      <c r="H181">
        <v>231.070663</v>
      </c>
      <c r="I181">
        <v>39.129992999999999</v>
      </c>
      <c r="J181">
        <v>39.465054000000002</v>
      </c>
    </row>
    <row r="182" spans="1:10" x14ac:dyDescent="0.25">
      <c r="A182">
        <v>181</v>
      </c>
      <c r="B182" s="3" t="s">
        <v>368</v>
      </c>
      <c r="C182" s="3" t="s">
        <v>383</v>
      </c>
      <c r="D182" t="s">
        <v>513</v>
      </c>
      <c r="E182">
        <v>128.19999999999999</v>
      </c>
      <c r="F182">
        <v>19.8</v>
      </c>
      <c r="G182">
        <v>106.660461</v>
      </c>
      <c r="H182">
        <v>157.870026</v>
      </c>
      <c r="I182">
        <v>58.243988000000002</v>
      </c>
      <c r="J182">
        <v>-6.7267190000000001</v>
      </c>
    </row>
    <row r="183" spans="1:10" x14ac:dyDescent="0.25">
      <c r="A183">
        <v>182</v>
      </c>
      <c r="B183" s="3" t="s">
        <v>383</v>
      </c>
      <c r="C183" s="3" t="s">
        <v>484</v>
      </c>
      <c r="D183" t="s">
        <v>513</v>
      </c>
      <c r="E183">
        <v>19.8</v>
      </c>
      <c r="F183">
        <v>225.4</v>
      </c>
      <c r="G183">
        <v>157.870026</v>
      </c>
      <c r="H183">
        <v>266.48174999999998</v>
      </c>
      <c r="I183">
        <v>-6.7267190000000001</v>
      </c>
      <c r="J183">
        <v>56.134720000000002</v>
      </c>
    </row>
    <row r="184" spans="1:10" x14ac:dyDescent="0.25">
      <c r="A184">
        <v>183</v>
      </c>
      <c r="B184" s="3" t="s">
        <v>423</v>
      </c>
      <c r="C184" s="3" t="s">
        <v>383</v>
      </c>
      <c r="D184" t="s">
        <v>514</v>
      </c>
      <c r="E184">
        <v>154.5</v>
      </c>
      <c r="F184">
        <v>76.8</v>
      </c>
      <c r="G184">
        <v>70.935637999999997</v>
      </c>
      <c r="H184">
        <v>119.231651</v>
      </c>
      <c r="I184">
        <v>69.104279000000005</v>
      </c>
      <c r="J184">
        <v>9.6552260000000008</v>
      </c>
    </row>
    <row r="185" spans="1:10" x14ac:dyDescent="0.25">
      <c r="A185">
        <v>184</v>
      </c>
      <c r="B185" s="3" t="s">
        <v>383</v>
      </c>
      <c r="C185" s="3" t="s">
        <v>369</v>
      </c>
      <c r="D185" t="s">
        <v>514</v>
      </c>
      <c r="E185">
        <v>76.8</v>
      </c>
      <c r="F185">
        <v>162.6</v>
      </c>
      <c r="G185">
        <v>119.231651</v>
      </c>
      <c r="H185">
        <v>35.945118000000001</v>
      </c>
      <c r="I185">
        <v>9.6552260000000008</v>
      </c>
      <c r="J185">
        <v>58.758372999999999</v>
      </c>
    </row>
    <row r="186" spans="1:10" x14ac:dyDescent="0.25">
      <c r="A186">
        <v>185</v>
      </c>
      <c r="B186" s="3" t="s">
        <v>387</v>
      </c>
      <c r="C186" s="3" t="s">
        <v>383</v>
      </c>
      <c r="D186" t="s">
        <v>515</v>
      </c>
      <c r="E186">
        <v>88.5</v>
      </c>
      <c r="F186">
        <v>38.5</v>
      </c>
      <c r="G186">
        <v>178.46878100000001</v>
      </c>
      <c r="H186">
        <v>199.65332000000001</v>
      </c>
      <c r="I186">
        <v>37.102333000000002</v>
      </c>
      <c r="J186">
        <v>4.0203139999999999</v>
      </c>
    </row>
    <row r="187" spans="1:10" x14ac:dyDescent="0.25">
      <c r="A187">
        <v>186</v>
      </c>
      <c r="B187" s="3" t="s">
        <v>383</v>
      </c>
      <c r="C187" s="3" t="s">
        <v>368</v>
      </c>
      <c r="D187" t="s">
        <v>515</v>
      </c>
      <c r="E187">
        <v>38.5</v>
      </c>
      <c r="F187">
        <v>138.6</v>
      </c>
      <c r="G187">
        <v>199.65332000000001</v>
      </c>
      <c r="H187">
        <v>125.180679</v>
      </c>
      <c r="I187">
        <v>4.0203139999999999</v>
      </c>
      <c r="J187">
        <v>54.711162999999999</v>
      </c>
    </row>
    <row r="188" spans="1:10" x14ac:dyDescent="0.25">
      <c r="A188">
        <v>187</v>
      </c>
      <c r="B188" s="2" t="s">
        <v>387</v>
      </c>
      <c r="C188" s="2" t="s">
        <v>368</v>
      </c>
      <c r="D188" t="s">
        <v>516</v>
      </c>
      <c r="E188">
        <v>151</v>
      </c>
      <c r="F188">
        <v>160.6</v>
      </c>
      <c r="G188">
        <v>50.144427999999998</v>
      </c>
      <c r="H188">
        <v>5.95723</v>
      </c>
      <c r="I188">
        <v>69.581017000000003</v>
      </c>
      <c r="J188">
        <v>59.608058999999997</v>
      </c>
    </row>
    <row r="189" spans="1:10" x14ac:dyDescent="0.25">
      <c r="A189">
        <v>188</v>
      </c>
      <c r="B189" s="3" t="s">
        <v>368</v>
      </c>
      <c r="C189" s="3" t="s">
        <v>383</v>
      </c>
      <c r="D189" t="s">
        <v>516</v>
      </c>
      <c r="E189">
        <v>160.6</v>
      </c>
      <c r="F189">
        <v>71.2</v>
      </c>
      <c r="G189">
        <v>5.95723</v>
      </c>
      <c r="H189">
        <v>105.17480500000001</v>
      </c>
      <c r="I189">
        <v>59.608058999999997</v>
      </c>
      <c r="J189">
        <v>29.269877999999999</v>
      </c>
    </row>
    <row r="190" spans="1:10" x14ac:dyDescent="0.25">
      <c r="A190">
        <v>189</v>
      </c>
      <c r="B190" s="3" t="s">
        <v>387</v>
      </c>
      <c r="C190" s="3" t="s">
        <v>383</v>
      </c>
      <c r="D190" t="s">
        <v>517</v>
      </c>
      <c r="E190">
        <v>140.30000000000001</v>
      </c>
      <c r="F190">
        <v>25</v>
      </c>
      <c r="G190">
        <v>124.15551000000001</v>
      </c>
      <c r="H190">
        <v>156.24963399999999</v>
      </c>
      <c r="I190">
        <v>66.683494999999994</v>
      </c>
      <c r="J190">
        <v>9.7410920000000001</v>
      </c>
    </row>
    <row r="191" spans="1:10" x14ac:dyDescent="0.25">
      <c r="A191">
        <v>190</v>
      </c>
      <c r="B191" s="3" t="s">
        <v>484</v>
      </c>
      <c r="C191" s="3" t="s">
        <v>368</v>
      </c>
      <c r="D191" t="s">
        <v>518</v>
      </c>
      <c r="E191">
        <v>246.6</v>
      </c>
      <c r="F191">
        <v>153.9</v>
      </c>
      <c r="G191">
        <v>287.52316300000001</v>
      </c>
      <c r="H191">
        <v>184.890244</v>
      </c>
      <c r="I191">
        <v>40.051991000000001</v>
      </c>
      <c r="J191">
        <v>67.319580000000002</v>
      </c>
    </row>
    <row r="192" spans="1:10" x14ac:dyDescent="0.25">
      <c r="A192">
        <v>191</v>
      </c>
      <c r="B192" s="3" t="s">
        <v>383</v>
      </c>
      <c r="C192" s="3" t="s">
        <v>368</v>
      </c>
      <c r="D192" t="s">
        <v>519</v>
      </c>
      <c r="E192">
        <v>60.5</v>
      </c>
      <c r="F192">
        <v>144.4</v>
      </c>
      <c r="G192">
        <v>176.66068999999999</v>
      </c>
      <c r="H192">
        <v>101.95457500000001</v>
      </c>
      <c r="I192">
        <v>19.637138</v>
      </c>
      <c r="J192">
        <v>55.041522999999998</v>
      </c>
    </row>
    <row r="193" spans="1:10" x14ac:dyDescent="0.25">
      <c r="A193">
        <v>192</v>
      </c>
      <c r="B193" s="3" t="s">
        <v>383</v>
      </c>
      <c r="C193" s="3" t="s">
        <v>374</v>
      </c>
      <c r="D193" t="s">
        <v>520</v>
      </c>
      <c r="E193">
        <v>53.8</v>
      </c>
      <c r="F193">
        <v>189.8</v>
      </c>
      <c r="G193">
        <v>181.416245</v>
      </c>
      <c r="H193">
        <v>20.732267</v>
      </c>
      <c r="I193">
        <v>6.2497170000000004</v>
      </c>
      <c r="J193">
        <v>67.368178999999998</v>
      </c>
    </row>
    <row r="194" spans="1:10" x14ac:dyDescent="0.25">
      <c r="A194">
        <v>193</v>
      </c>
      <c r="B194" s="3" t="s">
        <v>374</v>
      </c>
      <c r="C194" s="3" t="s">
        <v>368</v>
      </c>
      <c r="D194" t="s">
        <v>520</v>
      </c>
      <c r="E194">
        <v>189.8</v>
      </c>
      <c r="F194">
        <v>135.6</v>
      </c>
      <c r="G194">
        <v>20.732267</v>
      </c>
      <c r="H194">
        <v>114.83345799999999</v>
      </c>
      <c r="I194">
        <v>67.368178999999998</v>
      </c>
      <c r="J194">
        <v>47.364871999999998</v>
      </c>
    </row>
    <row r="195" spans="1:10" x14ac:dyDescent="0.25">
      <c r="A195">
        <v>194</v>
      </c>
      <c r="B195" s="3" t="s">
        <v>368</v>
      </c>
      <c r="C195" s="3" t="s">
        <v>369</v>
      </c>
      <c r="D195" t="s">
        <v>520</v>
      </c>
      <c r="E195">
        <v>135.6</v>
      </c>
      <c r="F195">
        <v>194.5</v>
      </c>
      <c r="G195">
        <v>114.83345799999999</v>
      </c>
      <c r="H195">
        <v>13.853973</v>
      </c>
      <c r="I195">
        <v>47.364871999999998</v>
      </c>
      <c r="J195">
        <v>62.554076999999999</v>
      </c>
    </row>
    <row r="196" spans="1:10" x14ac:dyDescent="0.25">
      <c r="A196">
        <v>195</v>
      </c>
      <c r="B196" s="3" t="s">
        <v>387</v>
      </c>
      <c r="C196" s="3" t="s">
        <v>383</v>
      </c>
      <c r="D196" t="s">
        <v>521</v>
      </c>
      <c r="E196">
        <v>92.4</v>
      </c>
      <c r="F196">
        <v>26.3</v>
      </c>
      <c r="G196">
        <v>202.39183</v>
      </c>
      <c r="H196">
        <v>220.63829000000001</v>
      </c>
      <c r="I196">
        <v>46.570304999999998</v>
      </c>
      <c r="J196">
        <v>8.1075999999999997</v>
      </c>
    </row>
    <row r="197" spans="1:10" x14ac:dyDescent="0.25">
      <c r="A197">
        <v>196</v>
      </c>
      <c r="B197" s="3" t="s">
        <v>383</v>
      </c>
      <c r="C197" s="3" t="s">
        <v>368</v>
      </c>
      <c r="D197" t="s">
        <v>521</v>
      </c>
      <c r="E197">
        <v>26.3</v>
      </c>
      <c r="F197">
        <v>147.1</v>
      </c>
      <c r="G197">
        <v>220.63829000000001</v>
      </c>
      <c r="H197">
        <v>141.40463299999999</v>
      </c>
      <c r="I197">
        <v>8.1075999999999997</v>
      </c>
      <c r="J197">
        <v>66.074562</v>
      </c>
    </row>
    <row r="198" spans="1:10" x14ac:dyDescent="0.25">
      <c r="A198">
        <v>197</v>
      </c>
      <c r="B198" s="3" t="s">
        <v>372</v>
      </c>
      <c r="C198" s="3" t="s">
        <v>371</v>
      </c>
      <c r="D198" t="s">
        <v>522</v>
      </c>
      <c r="E198">
        <v>182.4</v>
      </c>
      <c r="F198">
        <v>232</v>
      </c>
      <c r="G198">
        <v>317.36416600000001</v>
      </c>
      <c r="H198">
        <v>176.93263200000001</v>
      </c>
      <c r="I198">
        <v>73.254913000000002</v>
      </c>
      <c r="J198">
        <v>60.464722000000002</v>
      </c>
    </row>
    <row r="199" spans="1:10" x14ac:dyDescent="0.25">
      <c r="A199">
        <v>198</v>
      </c>
      <c r="B199" s="3" t="s">
        <v>374</v>
      </c>
      <c r="C199" s="3" t="s">
        <v>368</v>
      </c>
      <c r="D199" t="s">
        <v>523</v>
      </c>
      <c r="E199">
        <v>223.1</v>
      </c>
      <c r="F199">
        <v>117.4</v>
      </c>
      <c r="G199">
        <v>218.759308</v>
      </c>
      <c r="H199">
        <v>79.792747000000006</v>
      </c>
      <c r="I199">
        <v>63.815266000000001</v>
      </c>
      <c r="J199">
        <v>49.232185000000001</v>
      </c>
    </row>
    <row r="200" spans="1:10" x14ac:dyDescent="0.25">
      <c r="A200">
        <v>199</v>
      </c>
      <c r="B200" s="3" t="s">
        <v>372</v>
      </c>
      <c r="C200" s="3" t="s">
        <v>369</v>
      </c>
      <c r="D200" t="s">
        <v>524</v>
      </c>
      <c r="E200">
        <v>186.8</v>
      </c>
      <c r="F200">
        <v>237.6</v>
      </c>
      <c r="G200">
        <v>301.93197600000002</v>
      </c>
      <c r="H200">
        <v>319.90887500000002</v>
      </c>
      <c r="I200">
        <v>85.614716000000001</v>
      </c>
      <c r="J200">
        <v>40.684604999999998</v>
      </c>
    </row>
    <row r="201" spans="1:10" x14ac:dyDescent="0.25">
      <c r="A201">
        <v>200</v>
      </c>
      <c r="B201" s="3" t="s">
        <v>484</v>
      </c>
      <c r="C201" s="3" t="s">
        <v>368</v>
      </c>
      <c r="D201" t="s">
        <v>524</v>
      </c>
      <c r="E201">
        <v>236.8</v>
      </c>
      <c r="F201">
        <v>190.8</v>
      </c>
      <c r="G201">
        <v>321.180725</v>
      </c>
      <c r="H201">
        <v>271.39614899999998</v>
      </c>
      <c r="I201">
        <v>40.738140000000001</v>
      </c>
      <c r="J201">
        <v>81.552345000000003</v>
      </c>
    </row>
    <row r="202" spans="1:10" x14ac:dyDescent="0.25">
      <c r="A202">
        <v>201</v>
      </c>
      <c r="B202" s="3" t="s">
        <v>368</v>
      </c>
      <c r="C202" s="3" t="s">
        <v>374</v>
      </c>
      <c r="D202" t="s">
        <v>525</v>
      </c>
      <c r="E202">
        <v>136.30000000000001</v>
      </c>
      <c r="F202">
        <v>214.1</v>
      </c>
      <c r="G202">
        <v>149.01907299999999</v>
      </c>
      <c r="H202">
        <v>348.49044800000001</v>
      </c>
      <c r="I202">
        <v>56.388317000000001</v>
      </c>
      <c r="J202">
        <v>62.877499</v>
      </c>
    </row>
    <row r="203" spans="1:10" x14ac:dyDescent="0.25">
      <c r="A203">
        <v>202</v>
      </c>
      <c r="B203" s="2" t="s">
        <v>387</v>
      </c>
      <c r="C203" s="2" t="s">
        <v>374</v>
      </c>
      <c r="D203" t="s">
        <v>526</v>
      </c>
      <c r="E203">
        <v>142.19999999999999</v>
      </c>
      <c r="F203">
        <v>180.3</v>
      </c>
      <c r="G203">
        <v>93.754020999999995</v>
      </c>
      <c r="H203">
        <v>26.661211000000002</v>
      </c>
      <c r="I203">
        <v>53.503979000000001</v>
      </c>
      <c r="J203">
        <v>56.330044000000001</v>
      </c>
    </row>
    <row r="204" spans="1:10" x14ac:dyDescent="0.25">
      <c r="A204">
        <v>203</v>
      </c>
      <c r="B204" s="3" t="s">
        <v>374</v>
      </c>
      <c r="C204" s="3" t="s">
        <v>369</v>
      </c>
      <c r="D204" t="s">
        <v>527</v>
      </c>
      <c r="E204">
        <v>218.1</v>
      </c>
      <c r="F204">
        <v>218.6</v>
      </c>
      <c r="G204">
        <v>349.80630500000001</v>
      </c>
      <c r="H204">
        <v>352.92675800000001</v>
      </c>
      <c r="I204">
        <v>51.839905000000002</v>
      </c>
      <c r="J204">
        <v>48.28801</v>
      </c>
    </row>
    <row r="205" spans="1:10" x14ac:dyDescent="0.25">
      <c r="A205">
        <v>204</v>
      </c>
      <c r="B205" s="3" t="s">
        <v>369</v>
      </c>
      <c r="C205" s="3" t="s">
        <v>374</v>
      </c>
      <c r="D205" t="s">
        <v>528</v>
      </c>
      <c r="E205">
        <v>187</v>
      </c>
      <c r="F205">
        <v>179.7</v>
      </c>
      <c r="G205">
        <v>39.367443000000002</v>
      </c>
      <c r="H205">
        <v>59.326659999999997</v>
      </c>
      <c r="I205">
        <v>71.668091000000004</v>
      </c>
      <c r="J205">
        <v>76.430938999999995</v>
      </c>
    </row>
    <row r="206" spans="1:10" x14ac:dyDescent="0.25">
      <c r="A206">
        <v>205</v>
      </c>
      <c r="B206" s="3" t="s">
        <v>374</v>
      </c>
      <c r="C206" s="3" t="s">
        <v>368</v>
      </c>
      <c r="D206" t="s">
        <v>528</v>
      </c>
      <c r="E206">
        <v>179.7</v>
      </c>
      <c r="F206">
        <v>129</v>
      </c>
      <c r="G206">
        <v>59.326659999999997</v>
      </c>
      <c r="H206">
        <v>138.629211</v>
      </c>
      <c r="I206">
        <v>76.430938999999995</v>
      </c>
      <c r="J206">
        <v>45.048732999999999</v>
      </c>
    </row>
    <row r="207" spans="1:10" x14ac:dyDescent="0.25">
      <c r="A207">
        <v>206</v>
      </c>
      <c r="B207" s="3" t="s">
        <v>409</v>
      </c>
      <c r="C207" s="3" t="s">
        <v>410</v>
      </c>
      <c r="D207" t="s">
        <v>529</v>
      </c>
      <c r="E207">
        <v>303.8</v>
      </c>
      <c r="F207">
        <v>313.8</v>
      </c>
      <c r="G207">
        <v>221.76475500000001</v>
      </c>
      <c r="H207">
        <v>213.58818099999999</v>
      </c>
      <c r="I207">
        <v>2.0497139999999998</v>
      </c>
      <c r="J207">
        <v>-0.72100399999999998</v>
      </c>
    </row>
    <row r="208" spans="1:10" x14ac:dyDescent="0.25">
      <c r="A208">
        <v>207</v>
      </c>
      <c r="B208" s="3" t="s">
        <v>387</v>
      </c>
      <c r="C208" s="3" t="s">
        <v>368</v>
      </c>
      <c r="D208" t="s">
        <v>530</v>
      </c>
      <c r="E208">
        <v>76.2</v>
      </c>
      <c r="F208">
        <v>139.69999999999999</v>
      </c>
      <c r="G208">
        <v>169.758972</v>
      </c>
      <c r="H208">
        <v>110.12915</v>
      </c>
      <c r="I208">
        <v>35.444125999999997</v>
      </c>
      <c r="J208">
        <v>58.366402000000001</v>
      </c>
    </row>
    <row r="209" spans="1:10" x14ac:dyDescent="0.25">
      <c r="A209">
        <v>208</v>
      </c>
      <c r="B209" s="3" t="s">
        <v>410</v>
      </c>
      <c r="C209" s="3" t="s">
        <v>409</v>
      </c>
      <c r="D209" t="s">
        <v>531</v>
      </c>
      <c r="E209">
        <v>300.39999999999998</v>
      </c>
      <c r="F209">
        <v>292.39999999999998</v>
      </c>
      <c r="G209">
        <v>276.76687600000002</v>
      </c>
      <c r="H209">
        <v>283.57638500000002</v>
      </c>
      <c r="I209">
        <v>6.414434</v>
      </c>
      <c r="J209">
        <v>8.4777740000000001</v>
      </c>
    </row>
    <row r="210" spans="1:10" x14ac:dyDescent="0.25">
      <c r="A210">
        <v>209</v>
      </c>
      <c r="B210" s="3" t="s">
        <v>409</v>
      </c>
      <c r="C210" s="3" t="s">
        <v>410</v>
      </c>
      <c r="D210" t="s">
        <v>532</v>
      </c>
      <c r="E210">
        <v>303.7</v>
      </c>
      <c r="F210">
        <v>311.10000000000002</v>
      </c>
      <c r="G210">
        <v>270.52722199999999</v>
      </c>
      <c r="H210">
        <v>264.43051100000002</v>
      </c>
      <c r="I210">
        <v>-0.13217400000000001</v>
      </c>
      <c r="J210">
        <v>-2.3344879999999999</v>
      </c>
    </row>
    <row r="211" spans="1:10" x14ac:dyDescent="0.25">
      <c r="A211">
        <v>210</v>
      </c>
      <c r="B211" s="3" t="s">
        <v>409</v>
      </c>
      <c r="C211" s="3" t="s">
        <v>410</v>
      </c>
      <c r="D211" t="s">
        <v>533</v>
      </c>
      <c r="E211">
        <v>295.3</v>
      </c>
      <c r="F211">
        <v>306.60000000000002</v>
      </c>
      <c r="G211">
        <v>259.39761399999998</v>
      </c>
      <c r="H211">
        <v>249.51788300000001</v>
      </c>
      <c r="I211">
        <v>6.797517</v>
      </c>
      <c r="J211">
        <v>4.533652</v>
      </c>
    </row>
    <row r="212" spans="1:10" x14ac:dyDescent="0.25">
      <c r="A212">
        <v>211</v>
      </c>
      <c r="B212" s="3" t="s">
        <v>387</v>
      </c>
      <c r="C212" s="3" t="s">
        <v>368</v>
      </c>
      <c r="D212" t="s">
        <v>534</v>
      </c>
      <c r="E212">
        <v>116.1</v>
      </c>
      <c r="F212">
        <v>153.5</v>
      </c>
      <c r="G212">
        <v>166.154831</v>
      </c>
      <c r="H212">
        <v>89.786591000000001</v>
      </c>
      <c r="I212">
        <v>55.949492999999997</v>
      </c>
      <c r="J212">
        <v>65.331978000000007</v>
      </c>
    </row>
    <row r="213" spans="1:10" x14ac:dyDescent="0.25">
      <c r="A213">
        <v>212</v>
      </c>
      <c r="B213" s="3" t="s">
        <v>387</v>
      </c>
      <c r="C213" s="3" t="s">
        <v>368</v>
      </c>
      <c r="D213" t="s">
        <v>535</v>
      </c>
      <c r="E213">
        <v>138.80000000000001</v>
      </c>
      <c r="F213">
        <v>152.69999999999999</v>
      </c>
      <c r="G213">
        <v>118.182014</v>
      </c>
      <c r="H213">
        <v>85.135925</v>
      </c>
      <c r="I213">
        <v>58.259663000000003</v>
      </c>
      <c r="J213">
        <v>54.777690999999997</v>
      </c>
    </row>
    <row r="214" spans="1:10" x14ac:dyDescent="0.25">
      <c r="A214">
        <v>213</v>
      </c>
      <c r="B214" s="3" t="s">
        <v>372</v>
      </c>
      <c r="C214" s="3" t="s">
        <v>371</v>
      </c>
      <c r="D214" t="s">
        <v>536</v>
      </c>
      <c r="E214">
        <v>199.9</v>
      </c>
      <c r="F214">
        <v>266.7</v>
      </c>
      <c r="G214">
        <v>6.8985589999999997</v>
      </c>
      <c r="H214">
        <v>289.33273300000002</v>
      </c>
      <c r="I214">
        <v>70.540771000000007</v>
      </c>
      <c r="J214">
        <v>42.531044000000001</v>
      </c>
    </row>
    <row r="215" spans="1:10" x14ac:dyDescent="0.25">
      <c r="A215">
        <v>214</v>
      </c>
      <c r="B215" s="3" t="s">
        <v>372</v>
      </c>
      <c r="C215" s="3" t="s">
        <v>371</v>
      </c>
      <c r="D215" t="s">
        <v>537</v>
      </c>
      <c r="E215">
        <v>220.4</v>
      </c>
      <c r="F215">
        <v>259.39999999999998</v>
      </c>
      <c r="G215">
        <v>351.72824100000003</v>
      </c>
      <c r="H215">
        <v>314.04205300000001</v>
      </c>
      <c r="I215">
        <v>52.798904</v>
      </c>
      <c r="J215">
        <v>33.585341999999997</v>
      </c>
    </row>
    <row r="216" spans="1:10" x14ac:dyDescent="0.25">
      <c r="A216">
        <v>215</v>
      </c>
      <c r="B216" s="3" t="s">
        <v>372</v>
      </c>
      <c r="C216" s="3" t="s">
        <v>371</v>
      </c>
      <c r="D216" t="s">
        <v>538</v>
      </c>
      <c r="E216">
        <v>220.5</v>
      </c>
      <c r="F216">
        <v>248.5</v>
      </c>
      <c r="G216">
        <v>271.49676499999998</v>
      </c>
      <c r="H216">
        <v>241.92323300000001</v>
      </c>
      <c r="I216">
        <v>46.823256999999998</v>
      </c>
      <c r="J216">
        <v>33.858882999999999</v>
      </c>
    </row>
    <row r="217" spans="1:10" x14ac:dyDescent="0.25">
      <c r="A217">
        <v>216</v>
      </c>
      <c r="B217" s="3" t="s">
        <v>372</v>
      </c>
      <c r="C217" s="3" t="s">
        <v>371</v>
      </c>
      <c r="D217" t="s">
        <v>539</v>
      </c>
      <c r="E217">
        <v>227.1</v>
      </c>
      <c r="F217">
        <v>255.2</v>
      </c>
      <c r="G217">
        <v>271.174194</v>
      </c>
      <c r="H217">
        <v>244.51010099999999</v>
      </c>
      <c r="I217">
        <v>42.632801000000001</v>
      </c>
      <c r="J217">
        <v>28.036193999999998</v>
      </c>
    </row>
    <row r="218" spans="1:10" x14ac:dyDescent="0.25">
      <c r="A218">
        <v>217</v>
      </c>
      <c r="B218" s="2" t="s">
        <v>372</v>
      </c>
      <c r="C218" s="2" t="s">
        <v>371</v>
      </c>
      <c r="D218" t="s">
        <v>540</v>
      </c>
      <c r="E218">
        <v>214.1</v>
      </c>
      <c r="F218">
        <v>267.60000000000002</v>
      </c>
      <c r="G218">
        <v>275.22915599999999</v>
      </c>
      <c r="H218">
        <v>224.06333900000001</v>
      </c>
      <c r="I218">
        <v>59.654682000000001</v>
      </c>
      <c r="J218">
        <v>33.870086999999998</v>
      </c>
    </row>
    <row r="219" spans="1:10" x14ac:dyDescent="0.25">
      <c r="A219">
        <v>218</v>
      </c>
      <c r="B219" s="2" t="s">
        <v>372</v>
      </c>
      <c r="C219" s="2" t="s">
        <v>371</v>
      </c>
      <c r="D219" t="s">
        <v>541</v>
      </c>
      <c r="E219">
        <v>205</v>
      </c>
      <c r="F219">
        <v>225.7</v>
      </c>
      <c r="G219">
        <v>358.12402300000002</v>
      </c>
      <c r="H219">
        <v>327.08120700000001</v>
      </c>
      <c r="I219">
        <v>52.207047000000003</v>
      </c>
      <c r="J219">
        <v>47.693489</v>
      </c>
    </row>
    <row r="220" spans="1:10" x14ac:dyDescent="0.25">
      <c r="A220">
        <v>219</v>
      </c>
      <c r="B220" s="2" t="s">
        <v>372</v>
      </c>
      <c r="C220" s="2" t="s">
        <v>371</v>
      </c>
      <c r="D220" t="s">
        <v>542</v>
      </c>
      <c r="E220">
        <v>192.7</v>
      </c>
      <c r="F220">
        <v>204</v>
      </c>
      <c r="G220">
        <v>41.187030999999998</v>
      </c>
      <c r="H220">
        <v>19.318788999999999</v>
      </c>
      <c r="I220">
        <v>51.740417000000001</v>
      </c>
      <c r="J220">
        <v>55.754249999999999</v>
      </c>
    </row>
    <row r="221" spans="1:10" x14ac:dyDescent="0.25">
      <c r="A221">
        <v>220</v>
      </c>
      <c r="B221" s="2" t="s">
        <v>372</v>
      </c>
      <c r="C221" s="2" t="s">
        <v>371</v>
      </c>
      <c r="D221" t="s">
        <v>543</v>
      </c>
      <c r="E221">
        <v>189.9</v>
      </c>
      <c r="F221">
        <v>214.6</v>
      </c>
      <c r="G221">
        <v>47.301085999999998</v>
      </c>
      <c r="H221">
        <v>333.56622299999998</v>
      </c>
      <c r="I221">
        <v>65.442520000000002</v>
      </c>
      <c r="J221">
        <v>67.790253000000007</v>
      </c>
    </row>
    <row r="222" spans="1:10" x14ac:dyDescent="0.25">
      <c r="A222">
        <v>221</v>
      </c>
      <c r="B222" s="3" t="s">
        <v>387</v>
      </c>
      <c r="C222" s="3" t="s">
        <v>368</v>
      </c>
      <c r="D222" t="s">
        <v>544</v>
      </c>
      <c r="E222">
        <v>162.6</v>
      </c>
      <c r="F222">
        <v>163.5</v>
      </c>
      <c r="G222">
        <v>113.95574999999999</v>
      </c>
      <c r="H222">
        <v>21.815203</v>
      </c>
      <c r="I222">
        <v>78.396407999999994</v>
      </c>
      <c r="J222">
        <v>64.184944000000002</v>
      </c>
    </row>
    <row r="223" spans="1:10" x14ac:dyDescent="0.25">
      <c r="A223">
        <v>222</v>
      </c>
      <c r="B223" s="2" t="s">
        <v>387</v>
      </c>
      <c r="C223" s="2" t="s">
        <v>368</v>
      </c>
      <c r="D223" t="s">
        <v>545</v>
      </c>
      <c r="E223">
        <v>88.8</v>
      </c>
      <c r="F223">
        <v>143</v>
      </c>
      <c r="G223">
        <v>180.01306199999999</v>
      </c>
      <c r="H223">
        <v>115.90010100000001</v>
      </c>
      <c r="I223">
        <v>42.816879</v>
      </c>
      <c r="J223">
        <v>59.208775000000003</v>
      </c>
    </row>
    <row r="224" spans="1:10" x14ac:dyDescent="0.25">
      <c r="A224">
        <v>223</v>
      </c>
      <c r="B224" s="2" t="s">
        <v>387</v>
      </c>
      <c r="C224" s="2" t="s">
        <v>368</v>
      </c>
      <c r="D224" t="s">
        <v>546</v>
      </c>
      <c r="E224">
        <v>123.6</v>
      </c>
      <c r="F224">
        <v>140.4</v>
      </c>
      <c r="G224">
        <v>57.127887999999999</v>
      </c>
      <c r="H224">
        <v>27.200210999999999</v>
      </c>
      <c r="I224">
        <v>48.907035999999998</v>
      </c>
      <c r="J224">
        <v>48.905289000000003</v>
      </c>
    </row>
    <row r="225" spans="1:10" x14ac:dyDescent="0.25">
      <c r="A225">
        <v>224</v>
      </c>
      <c r="B225" s="3" t="s">
        <v>409</v>
      </c>
      <c r="C225" s="3" t="s">
        <v>410</v>
      </c>
      <c r="D225" t="s">
        <v>547</v>
      </c>
      <c r="E225">
        <v>296.2</v>
      </c>
      <c r="F225">
        <v>302.8</v>
      </c>
      <c r="G225">
        <v>214.07543899999999</v>
      </c>
      <c r="H225">
        <v>208.546097</v>
      </c>
      <c r="I225">
        <v>-2.4096449999999998</v>
      </c>
      <c r="J225">
        <v>-4.8757739999999998</v>
      </c>
    </row>
    <row r="226" spans="1:10" x14ac:dyDescent="0.25">
      <c r="A226">
        <v>225</v>
      </c>
      <c r="B226" s="2" t="s">
        <v>387</v>
      </c>
      <c r="C226" s="2" t="s">
        <v>368</v>
      </c>
      <c r="D226" t="s">
        <v>548</v>
      </c>
      <c r="E226">
        <v>81.8</v>
      </c>
      <c r="F226">
        <v>137.30000000000001</v>
      </c>
      <c r="G226">
        <v>124.17667400000001</v>
      </c>
      <c r="H226">
        <v>69.222579999999994</v>
      </c>
      <c r="I226">
        <v>35.830737999999997</v>
      </c>
      <c r="J226">
        <v>55.442977999999997</v>
      </c>
    </row>
    <row r="227" spans="1:10" x14ac:dyDescent="0.25">
      <c r="A227">
        <v>226</v>
      </c>
      <c r="B227" s="2" t="s">
        <v>372</v>
      </c>
      <c r="C227" s="2" t="s">
        <v>371</v>
      </c>
      <c r="D227" t="s">
        <v>549</v>
      </c>
      <c r="E227">
        <v>212</v>
      </c>
      <c r="F227">
        <v>241.8</v>
      </c>
      <c r="G227">
        <v>310.77596999999997</v>
      </c>
      <c r="H227">
        <v>273.88110399999999</v>
      </c>
      <c r="I227">
        <v>51.268538999999997</v>
      </c>
      <c r="J227">
        <v>40.052937</v>
      </c>
    </row>
    <row r="228" spans="1:10" x14ac:dyDescent="0.25">
      <c r="A228">
        <v>227</v>
      </c>
      <c r="B228" s="3" t="s">
        <v>410</v>
      </c>
      <c r="C228" s="3" t="s">
        <v>409</v>
      </c>
      <c r="D228" t="s">
        <v>550</v>
      </c>
      <c r="E228">
        <v>308.7</v>
      </c>
      <c r="F228">
        <v>298.7</v>
      </c>
      <c r="G228">
        <v>257.31503300000003</v>
      </c>
      <c r="H228">
        <v>266.28341699999999</v>
      </c>
      <c r="I228">
        <v>6.4001320000000002</v>
      </c>
      <c r="J228">
        <v>7.476718</v>
      </c>
    </row>
    <row r="229" spans="1:10" x14ac:dyDescent="0.25">
      <c r="A229">
        <v>228</v>
      </c>
      <c r="B229" s="3" t="s">
        <v>410</v>
      </c>
      <c r="C229" s="3" t="s">
        <v>409</v>
      </c>
      <c r="D229" t="s">
        <v>551</v>
      </c>
      <c r="E229">
        <v>306.8</v>
      </c>
      <c r="F229">
        <v>298.5</v>
      </c>
      <c r="G229">
        <v>267.80447400000003</v>
      </c>
      <c r="H229">
        <v>274.68341099999998</v>
      </c>
      <c r="I229">
        <v>2.6941630000000001</v>
      </c>
      <c r="J229">
        <v>4.9214549999999999</v>
      </c>
    </row>
    <row r="230" spans="1:10" x14ac:dyDescent="0.25">
      <c r="A230">
        <v>229</v>
      </c>
      <c r="B230" s="3" t="s">
        <v>372</v>
      </c>
      <c r="C230" s="3" t="s">
        <v>371</v>
      </c>
      <c r="D230" t="s">
        <v>552</v>
      </c>
      <c r="E230">
        <v>217.4</v>
      </c>
      <c r="F230">
        <v>263.60000000000002</v>
      </c>
      <c r="G230">
        <v>251.65921</v>
      </c>
      <c r="H230">
        <v>207.54361</v>
      </c>
      <c r="I230">
        <v>57.182231999999999</v>
      </c>
      <c r="J230">
        <v>34.676825999999998</v>
      </c>
    </row>
    <row r="231" spans="1:10" x14ac:dyDescent="0.25">
      <c r="A231">
        <v>230</v>
      </c>
      <c r="B231" s="2" t="s">
        <v>372</v>
      </c>
      <c r="C231" s="2" t="s">
        <v>371</v>
      </c>
      <c r="D231" t="s">
        <v>553</v>
      </c>
      <c r="E231">
        <v>205.4</v>
      </c>
      <c r="F231">
        <v>266</v>
      </c>
      <c r="G231">
        <v>347.08398399999999</v>
      </c>
      <c r="H231">
        <v>281.04870599999998</v>
      </c>
      <c r="I231">
        <v>65.425301000000005</v>
      </c>
      <c r="J231">
        <v>38.937331999999998</v>
      </c>
    </row>
    <row r="232" spans="1:10" x14ac:dyDescent="0.25">
      <c r="A232">
        <v>231</v>
      </c>
      <c r="B232" s="2" t="s">
        <v>372</v>
      </c>
      <c r="C232" s="2" t="s">
        <v>371</v>
      </c>
      <c r="D232" t="s">
        <v>554</v>
      </c>
      <c r="E232">
        <v>190.3</v>
      </c>
      <c r="F232">
        <v>227.8</v>
      </c>
      <c r="G232">
        <v>306.81896999999998</v>
      </c>
      <c r="H232">
        <v>216.15683000000001</v>
      </c>
      <c r="I232">
        <v>66.781311000000002</v>
      </c>
      <c r="J232">
        <v>61.771014999999998</v>
      </c>
    </row>
    <row r="233" spans="1:10" x14ac:dyDescent="0.25">
      <c r="A233">
        <v>232</v>
      </c>
      <c r="B233" s="2" t="s">
        <v>371</v>
      </c>
      <c r="C233" s="2" t="s">
        <v>372</v>
      </c>
      <c r="D233" t="s">
        <v>555</v>
      </c>
      <c r="E233">
        <v>252.2</v>
      </c>
      <c r="F233">
        <v>210.2</v>
      </c>
      <c r="G233">
        <v>322.57549999999998</v>
      </c>
      <c r="H233">
        <v>12.162334</v>
      </c>
      <c r="I233">
        <v>40.533909000000001</v>
      </c>
      <c r="J233">
        <v>58.184508999999998</v>
      </c>
    </row>
    <row r="234" spans="1:10" x14ac:dyDescent="0.25">
      <c r="A234">
        <v>233</v>
      </c>
      <c r="B234" s="3" t="s">
        <v>387</v>
      </c>
      <c r="C234" s="3" t="s">
        <v>368</v>
      </c>
      <c r="D234" t="s">
        <v>556</v>
      </c>
      <c r="E234">
        <v>127.8</v>
      </c>
      <c r="F234">
        <v>148.6</v>
      </c>
      <c r="G234">
        <v>117.86122899999999</v>
      </c>
      <c r="H234">
        <v>69.823029000000005</v>
      </c>
      <c r="I234">
        <v>57.662941000000004</v>
      </c>
      <c r="J234">
        <v>57.854014999999997</v>
      </c>
    </row>
    <row r="235" spans="1:10" x14ac:dyDescent="0.25">
      <c r="A235">
        <v>234</v>
      </c>
      <c r="B235" s="3" t="s">
        <v>409</v>
      </c>
      <c r="C235" s="3" t="s">
        <v>410</v>
      </c>
      <c r="D235" t="s">
        <v>557</v>
      </c>
      <c r="E235">
        <v>298.5</v>
      </c>
      <c r="F235">
        <v>306.5</v>
      </c>
      <c r="G235">
        <v>261.20214800000002</v>
      </c>
      <c r="H235">
        <v>254.65774500000001</v>
      </c>
      <c r="I235">
        <v>1.955354</v>
      </c>
      <c r="J235">
        <v>-0.75688100000000003</v>
      </c>
    </row>
    <row r="236" spans="1:10" x14ac:dyDescent="0.25">
      <c r="A236">
        <v>235</v>
      </c>
      <c r="B236" s="3" t="s">
        <v>372</v>
      </c>
      <c r="C236" s="3" t="s">
        <v>371</v>
      </c>
      <c r="D236" t="s">
        <v>558</v>
      </c>
      <c r="E236">
        <v>201.2</v>
      </c>
      <c r="F236">
        <v>275.39999999999998</v>
      </c>
      <c r="G236">
        <v>7.5336350000000003</v>
      </c>
      <c r="H236">
        <v>296.39819299999999</v>
      </c>
      <c r="I236">
        <v>73.119408000000007</v>
      </c>
      <c r="J236">
        <v>40.417735999999998</v>
      </c>
    </row>
    <row r="237" spans="1:10" x14ac:dyDescent="0.25">
      <c r="A237">
        <v>236</v>
      </c>
      <c r="B237" s="3" t="s">
        <v>387</v>
      </c>
      <c r="C237" s="3" t="s">
        <v>368</v>
      </c>
      <c r="D237" t="s">
        <v>559</v>
      </c>
      <c r="E237">
        <v>115.7</v>
      </c>
      <c r="F237">
        <v>147.30000000000001</v>
      </c>
      <c r="G237">
        <v>197.59667999999999</v>
      </c>
      <c r="H237">
        <v>141.059067</v>
      </c>
      <c r="I237">
        <v>52.437083999999999</v>
      </c>
      <c r="J237">
        <v>58.232039999999998</v>
      </c>
    </row>
    <row r="238" spans="1:10" x14ac:dyDescent="0.25">
      <c r="A238">
        <v>237</v>
      </c>
      <c r="B238" s="2" t="s">
        <v>387</v>
      </c>
      <c r="C238" s="2" t="s">
        <v>368</v>
      </c>
      <c r="D238" t="s">
        <v>560</v>
      </c>
      <c r="E238">
        <v>141.30000000000001</v>
      </c>
      <c r="F238">
        <v>160.5</v>
      </c>
      <c r="G238">
        <v>217.380798</v>
      </c>
      <c r="H238">
        <v>116.83663199999999</v>
      </c>
      <c r="I238">
        <v>65.335517999999993</v>
      </c>
      <c r="J238">
        <v>67.471748000000005</v>
      </c>
    </row>
  </sheetData>
  <autoFilter ref="A1:J23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E04F3-496A-4B7F-B508-8ADA4D89130B}">
  <sheetPr codeName="Sheet3"/>
  <dimension ref="A1:L21"/>
  <sheetViews>
    <sheetView tabSelected="1" workbookViewId="0">
      <selection activeCell="C20" sqref="C20"/>
    </sheetView>
  </sheetViews>
  <sheetFormatPr defaultRowHeight="15" x14ac:dyDescent="0.25"/>
  <cols>
    <col min="1" max="1" width="16.140625" bestFit="1" customWidth="1"/>
    <col min="2" max="2" width="12.85546875" bestFit="1" customWidth="1"/>
    <col min="3" max="3" width="11.7109375" bestFit="1" customWidth="1"/>
    <col min="4" max="4" width="18.5703125" customWidth="1"/>
    <col min="5" max="5" width="13.28515625" bestFit="1" customWidth="1"/>
    <col min="6" max="6" width="10" bestFit="1" customWidth="1"/>
    <col min="7" max="7" width="13.28515625" bestFit="1" customWidth="1"/>
    <col min="8" max="9" width="9" bestFit="1" customWidth="1"/>
    <col min="10" max="10" width="10" bestFit="1" customWidth="1"/>
    <col min="11" max="11" width="9" bestFit="1" customWidth="1"/>
    <col min="12" max="12" width="10" bestFit="1" customWidth="1"/>
  </cols>
  <sheetData>
    <row r="1" spans="1:12" x14ac:dyDescent="0.25">
      <c r="A1" t="s">
        <v>573</v>
      </c>
      <c r="B1" t="s">
        <v>574</v>
      </c>
      <c r="C1" t="s">
        <v>575</v>
      </c>
      <c r="D1" t="s">
        <v>563</v>
      </c>
      <c r="E1" t="s">
        <v>576</v>
      </c>
      <c r="F1" t="s">
        <v>577</v>
      </c>
      <c r="G1" t="s">
        <v>580</v>
      </c>
      <c r="H1" t="s">
        <v>581</v>
      </c>
      <c r="I1" t="s">
        <v>563</v>
      </c>
    </row>
    <row r="2" spans="1:12" x14ac:dyDescent="0.25">
      <c r="A2" t="s">
        <v>373</v>
      </c>
      <c r="B2" t="s">
        <v>572</v>
      </c>
      <c r="C2">
        <v>251.8</v>
      </c>
      <c r="D2">
        <v>48.7</v>
      </c>
      <c r="E2">
        <v>74.917075999999994</v>
      </c>
      <c r="F2">
        <v>45.931049000000002</v>
      </c>
      <c r="G2">
        <v>-1.3167</v>
      </c>
      <c r="H2">
        <v>51.866700000000002</v>
      </c>
      <c r="I2">
        <v>80</v>
      </c>
    </row>
    <row r="3" spans="1:12" x14ac:dyDescent="0.25">
      <c r="A3" t="s">
        <v>578</v>
      </c>
      <c r="B3" t="s">
        <v>579</v>
      </c>
      <c r="C3">
        <v>198.9</v>
      </c>
      <c r="D3">
        <v>31.7</v>
      </c>
      <c r="E3">
        <v>147.74400299999999</v>
      </c>
      <c r="F3">
        <v>66.301743000000002</v>
      </c>
      <c r="G3">
        <v>-1.0197000000000001</v>
      </c>
      <c r="H3">
        <v>50.938800000000001</v>
      </c>
      <c r="I3">
        <v>158</v>
      </c>
    </row>
    <row r="5" spans="1:12" x14ac:dyDescent="0.25">
      <c r="B5" s="6" t="s">
        <v>561</v>
      </c>
      <c r="C5" s="6" t="s">
        <v>562</v>
      </c>
      <c r="D5" s="6" t="s">
        <v>568</v>
      </c>
      <c r="E5" s="7" t="s">
        <v>569</v>
      </c>
      <c r="F5" s="6" t="s">
        <v>570</v>
      </c>
      <c r="G5" s="6" t="s">
        <v>565</v>
      </c>
      <c r="H5" s="6" t="s">
        <v>564</v>
      </c>
      <c r="I5" s="6" t="s">
        <v>566</v>
      </c>
      <c r="J5" s="6" t="s">
        <v>583</v>
      </c>
      <c r="K5" s="6" t="s">
        <v>584</v>
      </c>
      <c r="L5" s="6" t="s">
        <v>585</v>
      </c>
    </row>
    <row r="6" spans="1:12" x14ac:dyDescent="0.25">
      <c r="A6" t="s">
        <v>571</v>
      </c>
      <c r="B6" s="8">
        <v>51.866700000000002</v>
      </c>
      <c r="C6" s="8">
        <v>-1.3167</v>
      </c>
      <c r="D6" t="s">
        <v>373</v>
      </c>
      <c r="E6" s="8">
        <f>vblstfromdt(D7,C6)</f>
        <v>0.73452498530095511</v>
      </c>
      <c r="F6" s="8">
        <f>E6*15-G6</f>
        <v>-63.899201220485665</v>
      </c>
      <c r="G6" s="8">
        <v>74.917075999999994</v>
      </c>
      <c r="H6" s="8">
        <v>45.931049000000002</v>
      </c>
      <c r="I6" s="8">
        <v>48.7</v>
      </c>
      <c r="J6" s="8">
        <v>251.8</v>
      </c>
      <c r="K6" s="8">
        <f>DEGREES(K7)</f>
        <v>48.94753780930462</v>
      </c>
      <c r="L6" s="8">
        <f>DEGREES(L7)+180</f>
        <v>251.75770361091139</v>
      </c>
    </row>
    <row r="7" spans="1:12" x14ac:dyDescent="0.25">
      <c r="A7" t="s">
        <v>582</v>
      </c>
      <c r="B7" s="8">
        <f>RADIANS(B6)</f>
        <v>0.90524468714414297</v>
      </c>
      <c r="C7" s="8">
        <f>RADIANS(C6)</f>
        <v>-2.2980750261009337E-2</v>
      </c>
      <c r="D7" s="5">
        <f>DATE(LEFT(D6,4), MID(D6,5,2), MID(D6,7,2))+TIME(MID(D6,10,2), MID(D6,12,2), MID(D6,14,2))</f>
        <v>43833.748622685183</v>
      </c>
      <c r="E7" s="8"/>
      <c r="F7" s="8">
        <f>RADIANS(F6)</f>
        <v>-1.1152514506918541</v>
      </c>
      <c r="G7" s="8">
        <f>RADIANS(G6)</f>
        <v>1.3075496421668233</v>
      </c>
      <c r="H7" s="8">
        <f>RADIANS(H6)</f>
        <v>0.80164803394484896</v>
      </c>
      <c r="I7" s="8">
        <f>RADIANS(I6)</f>
        <v>0.84997534572123856</v>
      </c>
      <c r="J7" s="8">
        <f>RADIANS(J6-180)</f>
        <v>1.2531464029319288</v>
      </c>
      <c r="K7" s="8">
        <f>ASIN(SIN(H7)*SIN(B7)+COS(H7)*COS(B7)*COS(F7))</f>
        <v>0.85429569551677798</v>
      </c>
      <c r="L7" s="8">
        <f>ACOS((SIN(H7)-SIN(I7)*SIN(B7))/(COS(I7)*COS(B7)))</f>
        <v>1.2524081916806278</v>
      </c>
    </row>
    <row r="8" spans="1:12" x14ac:dyDescent="0.25">
      <c r="D8" s="5"/>
      <c r="E8" s="5"/>
      <c r="F8" s="5"/>
      <c r="L8" s="4"/>
    </row>
    <row r="9" spans="1:12" x14ac:dyDescent="0.25">
      <c r="D9" t="s">
        <v>586</v>
      </c>
      <c r="E9" t="s">
        <v>567</v>
      </c>
      <c r="F9" t="s">
        <v>587</v>
      </c>
      <c r="G9" t="s">
        <v>588</v>
      </c>
      <c r="L9" s="4"/>
    </row>
    <row r="10" spans="1:12" x14ac:dyDescent="0.25">
      <c r="D10">
        <v>250</v>
      </c>
      <c r="E10">
        <f>D10-180</f>
        <v>70</v>
      </c>
      <c r="F10">
        <f>SIN(RADIANS(E10))</f>
        <v>0.93969262078590832</v>
      </c>
      <c r="G10">
        <f>COS(RADIANS(E10))</f>
        <v>0.34202014332566882</v>
      </c>
    </row>
    <row r="11" spans="1:12" x14ac:dyDescent="0.25">
      <c r="C11" s="6"/>
      <c r="D11" s="7">
        <v>185</v>
      </c>
      <c r="E11">
        <f t="shared" ref="E11:E13" si="0">D11-180</f>
        <v>5</v>
      </c>
      <c r="F11">
        <f t="shared" ref="F11:F13" si="1">SIN(RADIANS(E11))</f>
        <v>8.7155742747658166E-2</v>
      </c>
      <c r="G11">
        <f t="shared" ref="G11:G13" si="2">COS(RADIANS(E11))</f>
        <v>0.99619469809174555</v>
      </c>
    </row>
    <row r="12" spans="1:12" x14ac:dyDescent="0.25">
      <c r="D12">
        <v>175</v>
      </c>
      <c r="E12">
        <f t="shared" si="0"/>
        <v>-5</v>
      </c>
      <c r="F12">
        <f t="shared" si="1"/>
        <v>-8.7155742747658166E-2</v>
      </c>
      <c r="G12">
        <f t="shared" si="2"/>
        <v>0.99619469809174555</v>
      </c>
    </row>
    <row r="13" spans="1:12" x14ac:dyDescent="0.25">
      <c r="D13">
        <v>100</v>
      </c>
      <c r="E13">
        <f t="shared" si="0"/>
        <v>-80</v>
      </c>
      <c r="F13">
        <f t="shared" si="1"/>
        <v>-0.98480775301220802</v>
      </c>
      <c r="G13">
        <f t="shared" si="2"/>
        <v>0.17364817766693041</v>
      </c>
    </row>
    <row r="17" spans="4:12" x14ac:dyDescent="0.25">
      <c r="J17">
        <v>8.7200000000000006</v>
      </c>
      <c r="K17">
        <f>J17*12*6</f>
        <v>627.84000000000015</v>
      </c>
    </row>
    <row r="18" spans="4:12" x14ac:dyDescent="0.25">
      <c r="D18" s="9">
        <v>3945644.72103807</v>
      </c>
      <c r="K18">
        <f>K17*0.2</f>
        <v>125.56800000000004</v>
      </c>
    </row>
    <row r="19" spans="4:12" x14ac:dyDescent="0.25">
      <c r="D19" s="9">
        <v>-90689.841399940007</v>
      </c>
      <c r="E19" s="9"/>
      <c r="K19">
        <f>(K17-166)*0.12</f>
        <v>55.420800000000014</v>
      </c>
    </row>
    <row r="20" spans="4:12" x14ac:dyDescent="0.25">
      <c r="D20" s="9">
        <v>4993721.3351627402</v>
      </c>
      <c r="G20" s="9"/>
      <c r="K20">
        <f>K17-K18-K19</f>
        <v>446.85120000000006</v>
      </c>
      <c r="L20">
        <f>K20/6*5</f>
        <v>372.37600000000009</v>
      </c>
    </row>
    <row r="21" spans="4:12" x14ac:dyDescent="0.25">
      <c r="K21">
        <f>K20/12/6</f>
        <v>6.2062666666666679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U2_2020_pair</vt:lpstr>
      <vt:lpstr>matches-2020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2020-04-13T20:33:52Z</dcterms:created>
  <dcterms:modified xsi:type="dcterms:W3CDTF">2020-04-20T08:23:48Z</dcterms:modified>
</cp:coreProperties>
</file>